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3485" activeTab="2"/>
  </bookViews>
  <sheets>
    <sheet name="Rapot" sheetId="1" r:id="rId1"/>
    <sheet name="Deskripsi" sheetId="2" r:id="rId2"/>
    <sheet name="Keterangan Nilai" sheetId="3" r:id="rId3"/>
    <sheet name="Safira" sheetId="91" state="hidden" r:id="rId4"/>
    <sheet name="Amanda" sheetId="92" state="hidden" r:id="rId5"/>
  </sheets>
  <calcPr calcId="144525"/>
  <extLst>
    <ext uri="GoogleSheetsCustomDataVersion2">
      <go:sheetsCustomData xmlns:go="http://customooxmlschemas.google.com/" r:id="rId96" roundtripDataChecksum="K0g+icN40BNX7F7xzT7P/FbdjIAevt3CcLoWP3MipMM="/>
    </ext>
  </extLst>
</workbook>
</file>

<file path=xl/calcChain.xml><?xml version="1.0" encoding="utf-8"?>
<calcChain xmlns="http://schemas.openxmlformats.org/spreadsheetml/2006/main">
  <c r="G20" i="92" l="1"/>
  <c r="F20" i="92"/>
  <c r="E20" i="92"/>
  <c r="D20" i="92"/>
  <c r="C20" i="92"/>
  <c r="B20" i="92"/>
  <c r="H20" i="92" s="1"/>
  <c r="H19" i="92"/>
  <c r="H18" i="92"/>
  <c r="H17" i="92"/>
  <c r="H16" i="92"/>
  <c r="H15" i="92"/>
  <c r="H14" i="92"/>
  <c r="H13" i="92"/>
  <c r="H12" i="92"/>
  <c r="H11" i="92"/>
  <c r="H10" i="92"/>
  <c r="G20" i="91"/>
  <c r="F20" i="91"/>
  <c r="E20" i="91"/>
  <c r="D20" i="91"/>
  <c r="C20" i="91"/>
  <c r="B20" i="91"/>
  <c r="H20" i="91" s="1"/>
  <c r="H19" i="91"/>
  <c r="H18" i="91"/>
  <c r="H17" i="91"/>
  <c r="H16" i="91"/>
  <c r="H15" i="91"/>
  <c r="H14" i="91"/>
  <c r="H13" i="91"/>
  <c r="H12" i="91"/>
  <c r="H11" i="91"/>
  <c r="H10" i="91"/>
  <c r="E23" i="3"/>
  <c r="E22" i="3"/>
  <c r="E21" i="3"/>
  <c r="E20" i="3"/>
  <c r="E19" i="3"/>
  <c r="D19" i="3"/>
  <c r="E18" i="3"/>
  <c r="E17" i="3"/>
  <c r="E16" i="3"/>
  <c r="E15" i="3"/>
  <c r="D15" i="3"/>
  <c r="E14" i="3"/>
  <c r="D23" i="3"/>
  <c r="G23" i="3"/>
  <c r="D22" i="3"/>
  <c r="G22" i="3"/>
  <c r="D21" i="3"/>
  <c r="G21" i="3"/>
  <c r="D20" i="3"/>
  <c r="G20" i="3"/>
  <c r="G19" i="3"/>
  <c r="D18" i="3"/>
  <c r="G18" i="3"/>
  <c r="D17" i="3"/>
  <c r="G17" i="3"/>
  <c r="D16" i="3"/>
  <c r="G16" i="3"/>
  <c r="G15" i="3"/>
  <c r="D14" i="3"/>
  <c r="G14" i="3"/>
</calcChain>
</file>

<file path=xl/sharedStrings.xml><?xml version="1.0" encoding="utf-8"?>
<sst xmlns="http://schemas.openxmlformats.org/spreadsheetml/2006/main" count="477" uniqueCount="161">
  <si>
    <t>Laporan Hasil Belajar Peserta Didik</t>
  </si>
  <si>
    <t>HOMESCHOOLING TUNAS KARYA BANGSA</t>
  </si>
  <si>
    <r>
      <rPr>
        <b/>
        <sz val="12"/>
        <color theme="1"/>
        <rFont val="Calibri"/>
      </rPr>
      <t>NPSN : P 9908807</t>
    </r>
    <r>
      <rPr>
        <b/>
        <sz val="10"/>
        <color theme="1"/>
        <rFont val="Calibri"/>
      </rPr>
      <t xml:space="preserve"> </t>
    </r>
  </si>
  <si>
    <t>TERAKREDITASI : A</t>
  </si>
  <si>
    <t>Nama</t>
  </si>
  <si>
    <t>Kelas</t>
  </si>
  <si>
    <t>NIS/NISN</t>
  </si>
  <si>
    <t>Semester</t>
  </si>
  <si>
    <t>: Ganjil (I)</t>
  </si>
  <si>
    <t>Program</t>
  </si>
  <si>
    <t>Tahun Pembelajaran</t>
  </si>
  <si>
    <t>DATA ABSENSI PESERTA DIDIK</t>
  </si>
  <si>
    <t>Mata Pelajaran</t>
  </si>
  <si>
    <t>Jumlah Sesi Pada Bulan</t>
  </si>
  <si>
    <t xml:space="preserve">Total Sesi </t>
  </si>
  <si>
    <t>Juli</t>
  </si>
  <si>
    <t>Agustus</t>
  </si>
  <si>
    <t>September</t>
  </si>
  <si>
    <t>Oktober</t>
  </si>
  <si>
    <t>November</t>
  </si>
  <si>
    <t>Desember</t>
  </si>
  <si>
    <t>Pendidikan Agama</t>
  </si>
  <si>
    <t>PKN</t>
  </si>
  <si>
    <t xml:space="preserve">Bahasa Indonesia </t>
  </si>
  <si>
    <t xml:space="preserve">Bahasa Inggris  </t>
  </si>
  <si>
    <t>Matematika</t>
  </si>
  <si>
    <t>IPA</t>
  </si>
  <si>
    <t>IPS</t>
  </si>
  <si>
    <t>TIK</t>
  </si>
  <si>
    <t>SBK</t>
  </si>
  <si>
    <t>PJOK</t>
  </si>
  <si>
    <t>JUMLAH</t>
  </si>
  <si>
    <t>DAFTAR NILAI PESERTA DIDIK</t>
  </si>
  <si>
    <t>Penilaian Harian</t>
  </si>
  <si>
    <t>Tugas/PR</t>
  </si>
  <si>
    <t>ATS</t>
  </si>
  <si>
    <t>SAS</t>
  </si>
  <si>
    <t>Nilai Rapor</t>
  </si>
  <si>
    <t>Guru Bidang Studi</t>
  </si>
  <si>
    <t>-</t>
  </si>
  <si>
    <t>Jakarta, 23 Desember 2025</t>
  </si>
  <si>
    <t>Mengetahui,</t>
  </si>
  <si>
    <t xml:space="preserve">Dibuat oleh, </t>
  </si>
  <si>
    <t>Ketua Litbang HS-TKB</t>
  </si>
  <si>
    <t>Wali Kelas SMP</t>
  </si>
  <si>
    <r>
      <rPr>
        <b/>
        <sz val="12"/>
        <color theme="1"/>
        <rFont val="Times New Roman"/>
      </rPr>
      <t>NPSN : P 9908807</t>
    </r>
    <r>
      <rPr>
        <b/>
        <sz val="10"/>
        <color theme="1"/>
        <rFont val="Times New Roman"/>
      </rPr>
      <t xml:space="preserve"> </t>
    </r>
  </si>
  <si>
    <t xml:space="preserve">LAPORAN HASIL BELAJAR  SISWA </t>
  </si>
  <si>
    <t xml:space="preserve">Nama Siswa </t>
  </si>
  <si>
    <t xml:space="preserve">NIS/NISN  </t>
  </si>
  <si>
    <t xml:space="preserve"> </t>
  </si>
  <si>
    <t xml:space="preserve">Kelas </t>
  </si>
  <si>
    <t xml:space="preserve">Tahun Pelajaran </t>
  </si>
  <si>
    <t xml:space="preserve">Program </t>
  </si>
  <si>
    <t xml:space="preserve">: </t>
  </si>
  <si>
    <t xml:space="preserve">A. NILAI SIKAP </t>
  </si>
  <si>
    <t xml:space="preserve">No </t>
  </si>
  <si>
    <t xml:space="preserve">Aspek Penilaian </t>
  </si>
  <si>
    <t>Deskripsi</t>
  </si>
  <si>
    <t xml:space="preserve">Rata-Rata Nilai Sikap </t>
  </si>
  <si>
    <t>BAIK</t>
  </si>
  <si>
    <t xml:space="preserve">B. </t>
  </si>
  <si>
    <t xml:space="preserve">NILAI PENGETAHUAN DAN KETERAMPILAN </t>
  </si>
  <si>
    <t xml:space="preserve">Mata Pelajaran </t>
  </si>
  <si>
    <t>KKM</t>
  </si>
  <si>
    <t xml:space="preserve">Pengetahuan </t>
  </si>
  <si>
    <t xml:space="preserve">Keterampilan </t>
  </si>
  <si>
    <t xml:space="preserve">Nilai </t>
  </si>
  <si>
    <t xml:space="preserve">Predikat </t>
  </si>
  <si>
    <t xml:space="preserve">Deskripsi </t>
  </si>
  <si>
    <t>Predikat</t>
  </si>
  <si>
    <t>Pendidikan Agama dan Budi Pekerti</t>
  </si>
  <si>
    <t>B</t>
  </si>
  <si>
    <t xml:space="preserve">Pendidikan Pancasila dan Kewarganegaraan </t>
  </si>
  <si>
    <t>A</t>
  </si>
  <si>
    <t xml:space="preserve">Matematika </t>
  </si>
  <si>
    <t xml:space="preserve">Total Nilai        </t>
  </si>
  <si>
    <t xml:space="preserve">Nilai Rata- Rata </t>
  </si>
  <si>
    <t xml:space="preserve">Absensi </t>
  </si>
  <si>
    <t xml:space="preserve">Kepribadian </t>
  </si>
  <si>
    <t>Sakit</t>
  </si>
  <si>
    <t>Kedisiplinan</t>
  </si>
  <si>
    <r>
      <rPr>
        <strike/>
        <sz val="12"/>
        <color theme="1"/>
        <rFont val="Times New Roman"/>
      </rPr>
      <t>A /</t>
    </r>
    <r>
      <rPr>
        <sz val="12"/>
        <color theme="1"/>
        <rFont val="Times New Roman"/>
      </rPr>
      <t xml:space="preserve"> B </t>
    </r>
    <r>
      <rPr>
        <strike/>
        <sz val="12"/>
        <color theme="1"/>
        <rFont val="Times New Roman"/>
      </rPr>
      <t xml:space="preserve">/ C / D </t>
    </r>
    <r>
      <rPr>
        <sz val="12"/>
        <color theme="1"/>
        <rFont val="Times New Roman"/>
      </rPr>
      <t>*)</t>
    </r>
  </si>
  <si>
    <t>Izin</t>
  </si>
  <si>
    <t>Kerapihan</t>
  </si>
  <si>
    <r>
      <rPr>
        <strike/>
        <sz val="12"/>
        <color theme="1"/>
        <rFont val="Times New Roman"/>
      </rPr>
      <t>A /</t>
    </r>
    <r>
      <rPr>
        <sz val="12"/>
        <color theme="1"/>
        <rFont val="Times New Roman"/>
      </rPr>
      <t xml:space="preserve"> B </t>
    </r>
    <r>
      <rPr>
        <strike/>
        <sz val="12"/>
        <color theme="1"/>
        <rFont val="Times New Roman"/>
      </rPr>
      <t xml:space="preserve">/ C / D </t>
    </r>
    <r>
      <rPr>
        <sz val="12"/>
        <color theme="1"/>
        <rFont val="Times New Roman"/>
      </rPr>
      <t>*)</t>
    </r>
  </si>
  <si>
    <t>Alpa</t>
  </si>
  <si>
    <t>Kerajinan</t>
  </si>
  <si>
    <r>
      <rPr>
        <strike/>
        <sz val="12"/>
        <color theme="1"/>
        <rFont val="Times New Roman"/>
      </rPr>
      <t>A /</t>
    </r>
    <r>
      <rPr>
        <sz val="12"/>
        <color theme="1"/>
        <rFont val="Times New Roman"/>
      </rPr>
      <t xml:space="preserve"> B /</t>
    </r>
    <r>
      <rPr>
        <strike/>
        <sz val="12"/>
        <color theme="1"/>
        <rFont val="Times New Roman"/>
      </rPr>
      <t xml:space="preserve"> C / D </t>
    </r>
    <r>
      <rPr>
        <sz val="12"/>
        <color theme="1"/>
        <rFont val="Times New Roman"/>
      </rPr>
      <t>*)</t>
    </r>
  </si>
  <si>
    <t>Kesopanan</t>
  </si>
  <si>
    <r>
      <rPr>
        <strike/>
        <sz val="12"/>
        <color theme="1"/>
        <rFont val="Times New Roman"/>
      </rPr>
      <t>A /</t>
    </r>
    <r>
      <rPr>
        <sz val="12"/>
        <color theme="1"/>
        <rFont val="Times New Roman"/>
      </rPr>
      <t xml:space="preserve"> B /</t>
    </r>
    <r>
      <rPr>
        <strike/>
        <sz val="12"/>
        <color theme="1"/>
        <rFont val="Times New Roman"/>
      </rPr>
      <t xml:space="preserve"> C / D </t>
    </r>
    <r>
      <rPr>
        <sz val="12"/>
        <color theme="1"/>
        <rFont val="Times New Roman"/>
      </rPr>
      <t>*)</t>
    </r>
  </si>
  <si>
    <t xml:space="preserve">Orang Tua/Wali </t>
  </si>
  <si>
    <t xml:space="preserve">Wali Kelas </t>
  </si>
  <si>
    <t>(                          )</t>
  </si>
  <si>
    <t xml:space="preserve">Kepala Sekolah </t>
  </si>
  <si>
    <t xml:space="preserve">HS-Tunas Karya Bangsa </t>
  </si>
  <si>
    <r>
      <rPr>
        <b/>
        <sz val="12"/>
        <color theme="1"/>
        <rFont val="Calibri"/>
      </rPr>
      <t>NPSN : P 9908807</t>
    </r>
    <r>
      <rPr>
        <b/>
        <sz val="10"/>
        <color theme="1"/>
        <rFont val="Calibri"/>
      </rPr>
      <t xml:space="preserve"> </t>
    </r>
  </si>
  <si>
    <t>CAPAIAN PEMBELAJARAN</t>
  </si>
  <si>
    <t>Pemaparan Materi</t>
  </si>
  <si>
    <t>Hasil Pembelajaran</t>
  </si>
  <si>
    <t>Keterangan</t>
  </si>
  <si>
    <t>Asesmen Tengah Semester</t>
  </si>
  <si>
    <t>Sumatif Akhir Semester</t>
  </si>
  <si>
    <t>Terpenuhi</t>
  </si>
  <si>
    <t>Terlampaui</t>
  </si>
  <si>
    <t>Nilai</t>
  </si>
  <si>
    <t>Huruf</t>
  </si>
  <si>
    <t>86-98</t>
  </si>
  <si>
    <t>Sangat Baik</t>
  </si>
  <si>
    <t>73-85</t>
  </si>
  <si>
    <t>Baik</t>
  </si>
  <si>
    <t>60-72</t>
  </si>
  <si>
    <t>C</t>
  </si>
  <si>
    <t>Cukup</t>
  </si>
  <si>
    <t>&lt;59</t>
  </si>
  <si>
    <t>D</t>
  </si>
  <si>
    <t>Kurang</t>
  </si>
  <si>
    <t>Dibuat oleh,</t>
  </si>
  <si>
    <t>Evi Fitri, S.Si</t>
  </si>
  <si>
    <t>( )</t>
  </si>
  <si>
    <t>: IX SMP</t>
  </si>
  <si>
    <t>:</t>
  </si>
  <si>
    <t>Nama Siswa</t>
  </si>
  <si>
    <t>: Safira</t>
  </si>
  <si>
    <t>: B-T-00455-22/0109620105</t>
  </si>
  <si>
    <t>: Komunitas</t>
  </si>
  <si>
    <t>Tahun Pelajaran</t>
  </si>
  <si>
    <t>: 2024/2025</t>
  </si>
  <si>
    <t>DATA ABSENSI SISWA</t>
  </si>
  <si>
    <t>Total Sesi</t>
  </si>
  <si>
    <t>AGAMA</t>
  </si>
  <si>
    <t>B. INDONESIA</t>
  </si>
  <si>
    <t>B. INGGRIS</t>
  </si>
  <si>
    <t>MATEMATIKA</t>
  </si>
  <si>
    <t>DAFTAR NILAI SISWA</t>
  </si>
  <si>
    <t>Nafisah Al-Khairiyyah S.Pd</t>
  </si>
  <si>
    <t>Nico, S.Pd</t>
  </si>
  <si>
    <t>B.INDONESIA</t>
  </si>
  <si>
    <t>Desi Astriana S, S.Pd</t>
  </si>
  <si>
    <t>Anaqi</t>
  </si>
  <si>
    <t>Eliza Ernita, S.Pd</t>
  </si>
  <si>
    <t>Fina Firyal F, S.Pd</t>
  </si>
  <si>
    <t>PREDIKAT HASIL PEMBELAJARAN</t>
  </si>
  <si>
    <t>No</t>
  </si>
  <si>
    <t>Pemaparan
 Materi</t>
  </si>
  <si>
    <t>1.</t>
  </si>
  <si>
    <t>2.</t>
  </si>
  <si>
    <t>3.</t>
  </si>
  <si>
    <t>4.</t>
  </si>
  <si>
    <t>5.</t>
  </si>
  <si>
    <t>6.</t>
  </si>
  <si>
    <t>8.</t>
  </si>
  <si>
    <t>9.</t>
  </si>
  <si>
    <t>10.</t>
  </si>
  <si>
    <t>11.</t>
  </si>
  <si>
    <t>86 - 98</t>
  </si>
  <si>
    <t>73 - 85</t>
  </si>
  <si>
    <t>60 - 72</t>
  </si>
  <si>
    <t>&lt; 59</t>
  </si>
  <si>
    <t>: Amanda</t>
  </si>
  <si>
    <t>()</t>
  </si>
  <si>
    <t xml:space="preserve">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</si>
</sst>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0"/>
      <color rgb="FF000000"/>
      <name val="Calibri"/>
      <scheme val="minor"/>
    </font>
    <font>
      <b/>
      <i/>
      <sz val="18"/>
      <color theme="1"/>
      <name val="Courgette"/>
    </font>
    <font>
      <sz val="18"/>
      <color theme="1"/>
      <name val="Calibri"/>
    </font>
    <font>
      <sz val="18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b/>
      <sz val="12"/>
      <color theme="1"/>
      <name val="Calibri"/>
    </font>
    <font>
      <b/>
      <sz val="12"/>
      <color theme="1"/>
      <name val="Times New Roman"/>
    </font>
    <font>
      <b/>
      <sz val="14"/>
      <color theme="1"/>
      <name val="Times New Roman"/>
    </font>
    <font>
      <sz val="10"/>
      <name val="Calibri"/>
    </font>
    <font>
      <sz val="12"/>
      <color rgb="FF000000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7"/>
      <color theme="1"/>
      <name val="Times New Roman"/>
    </font>
    <font>
      <b/>
      <sz val="12"/>
      <color rgb="FF000000"/>
      <name val="Times New Roman"/>
    </font>
    <font>
      <sz val="12"/>
      <color rgb="FF000000"/>
      <name val="&quot;Times New Roman&quot;"/>
    </font>
    <font>
      <b/>
      <i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i/>
      <sz val="11"/>
      <color theme="1"/>
      <name val="Times New Roman"/>
    </font>
    <font>
      <b/>
      <sz val="11"/>
      <color theme="1"/>
      <name val="Calibri"/>
    </font>
    <font>
      <b/>
      <sz val="10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rgb="FF000000"/>
      <name val="Tahoma"/>
    </font>
    <font>
      <sz val="10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b/>
      <sz val="10"/>
      <color theme="1"/>
      <name val="Times New Roman"/>
    </font>
    <font>
      <strike/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92CDDC"/>
      </bottom>
      <diagonal/>
    </border>
    <border>
      <left style="medium">
        <color rgb="FF92CDDC"/>
      </left>
      <right/>
      <top style="medium">
        <color rgb="FF92CDDC"/>
      </top>
      <bottom style="medium">
        <color rgb="FF92CDDC"/>
      </bottom>
      <diagonal/>
    </border>
    <border>
      <left/>
      <right/>
      <top style="medium">
        <color rgb="FF92CDDC"/>
      </top>
      <bottom style="medium">
        <color rgb="FF92CDDC"/>
      </bottom>
      <diagonal/>
    </border>
    <border>
      <left/>
      <right/>
      <top style="medium">
        <color rgb="FF92CDDC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92CDDC"/>
      </right>
      <top style="medium">
        <color rgb="FF92CDDC"/>
      </top>
      <bottom style="medium">
        <color rgb="FF92CDDC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4" fillId="0" borderId="3" xfId="0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2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/>
    <xf numFmtId="0" fontId="11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15" fillId="0" borderId="15" xfId="0" applyNumberFormat="1" applyFont="1" applyBorder="1" applyAlignment="1">
      <alignment horizontal="center"/>
    </xf>
    <xf numFmtId="1" fontId="5" fillId="0" borderId="0" xfId="0" applyNumberFormat="1" applyFont="1"/>
    <xf numFmtId="0" fontId="16" fillId="0" borderId="15" xfId="0" applyFont="1" applyBorder="1" applyAlignment="1">
      <alignment horizontal="center"/>
    </xf>
    <xf numFmtId="1" fontId="14" fillId="0" borderId="15" xfId="0" applyNumberFormat="1" applyFont="1" applyBorder="1" applyAlignment="1">
      <alignment horizontal="center" vertical="center" wrapText="1"/>
    </xf>
    <xf numFmtId="1" fontId="16" fillId="0" borderId="15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4" fillId="0" borderId="2" xfId="0" applyFont="1" applyBorder="1"/>
    <xf numFmtId="0" fontId="4" fillId="0" borderId="19" xfId="0" applyFont="1" applyBorder="1"/>
    <xf numFmtId="0" fontId="14" fillId="0" borderId="0" xfId="0" applyFont="1" applyAlignment="1">
      <alignment vertical="center"/>
    </xf>
    <xf numFmtId="0" fontId="12" fillId="0" borderId="0" xfId="0" applyFont="1"/>
    <xf numFmtId="0" fontId="4" fillId="0" borderId="0" xfId="0" applyFont="1" applyAlignment="1">
      <alignment vertical="center"/>
    </xf>
    <xf numFmtId="0" fontId="11" fillId="0" borderId="0" xfId="0" applyFont="1"/>
    <xf numFmtId="0" fontId="14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1" fontId="7" fillId="0" borderId="15" xfId="0" applyNumberFormat="1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14" fillId="2" borderId="5" xfId="0" applyFont="1" applyFill="1" applyBorder="1" applyAlignment="1">
      <alignment vertical="center"/>
    </xf>
    <xf numFmtId="0" fontId="12" fillId="0" borderId="15" xfId="0" applyFont="1" applyBorder="1" applyAlignment="1">
      <alignment horizontal="center" vertical="center" wrapText="1"/>
    </xf>
    <xf numFmtId="0" fontId="23" fillId="0" borderId="0" xfId="0" applyFont="1"/>
    <xf numFmtId="0" fontId="5" fillId="0" borderId="0" xfId="0" applyFont="1" applyAlignment="1"/>
    <xf numFmtId="0" fontId="10" fillId="0" borderId="0" xfId="0" applyFont="1"/>
    <xf numFmtId="0" fontId="26" fillId="0" borderId="0" xfId="0" applyFont="1"/>
    <xf numFmtId="0" fontId="28" fillId="0" borderId="0" xfId="0" applyFont="1"/>
    <xf numFmtId="0" fontId="14" fillId="0" borderId="0" xfId="0" applyFont="1"/>
    <xf numFmtId="0" fontId="27" fillId="0" borderId="0" xfId="0" applyFont="1"/>
    <xf numFmtId="0" fontId="27" fillId="0" borderId="14" xfId="0" applyFont="1" applyBorder="1" applyAlignment="1">
      <alignment horizontal="center"/>
    </xf>
    <xf numFmtId="0" fontId="27" fillId="0" borderId="12" xfId="0" applyFont="1" applyBorder="1"/>
    <xf numFmtId="0" fontId="27" fillId="0" borderId="14" xfId="0" applyFont="1" applyBorder="1" applyAlignment="1">
      <alignment horizontal="center" vertical="top"/>
    </xf>
    <xf numFmtId="0" fontId="29" fillId="0" borderId="14" xfId="0" applyFont="1" applyBorder="1" applyAlignment="1">
      <alignment horizontal="center"/>
    </xf>
    <xf numFmtId="0" fontId="13" fillId="0" borderId="0" xfId="0" applyFont="1"/>
    <xf numFmtId="0" fontId="27" fillId="0" borderId="14" xfId="0" applyFont="1" applyBorder="1"/>
    <xf numFmtId="0" fontId="27" fillId="0" borderId="14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5" fillId="0" borderId="12" xfId="0" applyFont="1" applyBorder="1"/>
    <xf numFmtId="0" fontId="4" fillId="0" borderId="12" xfId="0" applyFont="1" applyBorder="1" applyAlignment="1">
      <alignment vertical="top"/>
    </xf>
    <xf numFmtId="0" fontId="27" fillId="3" borderId="20" xfId="0" applyFont="1" applyFill="1" applyBorder="1" applyAlignment="1">
      <alignment horizontal="center"/>
    </xf>
    <xf numFmtId="0" fontId="5" fillId="0" borderId="12" xfId="0" applyFont="1" applyBorder="1" applyAlignment="1">
      <alignment vertical="top"/>
    </xf>
    <xf numFmtId="0" fontId="24" fillId="0" borderId="14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26" fillId="0" borderId="14" xfId="0" applyFont="1" applyBorder="1"/>
    <xf numFmtId="0" fontId="5" fillId="0" borderId="14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top"/>
    </xf>
    <xf numFmtId="0" fontId="31" fillId="0" borderId="0" xfId="0" applyFont="1"/>
    <xf numFmtId="0" fontId="32" fillId="0" borderId="15" xfId="0" applyFont="1" applyBorder="1" applyAlignment="1">
      <alignment horizontal="left" vertical="top"/>
    </xf>
    <xf numFmtId="0" fontId="32" fillId="0" borderId="9" xfId="0" applyFont="1" applyBorder="1" applyAlignment="1">
      <alignment vertical="top"/>
    </xf>
    <xf numFmtId="0" fontId="31" fillId="0" borderId="12" xfId="0" applyFont="1" applyBorder="1" applyAlignment="1">
      <alignment horizontal="left"/>
    </xf>
    <xf numFmtId="0" fontId="31" fillId="0" borderId="14" xfId="0" applyFont="1" applyBorder="1" applyAlignment="1">
      <alignment horizontal="left" vertical="top"/>
    </xf>
    <xf numFmtId="0" fontId="31" fillId="0" borderId="14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 vertical="center"/>
    </xf>
    <xf numFmtId="0" fontId="9" fillId="0" borderId="9" xfId="0" applyFont="1" applyBorder="1"/>
    <xf numFmtId="2" fontId="14" fillId="0" borderId="8" xfId="0" applyNumberFormat="1" applyFont="1" applyBorder="1" applyAlignment="1">
      <alignment horizontal="center" vertical="center"/>
    </xf>
    <xf numFmtId="0" fontId="9" fillId="0" borderId="8" xfId="0" applyFont="1" applyBorder="1"/>
    <xf numFmtId="2" fontId="13" fillId="0" borderId="7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9" fillId="0" borderId="12" xfId="0" applyFont="1" applyBorder="1"/>
    <xf numFmtId="0" fontId="12" fillId="0" borderId="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0" borderId="16" xfId="0" applyFont="1" applyBorder="1"/>
    <xf numFmtId="0" fontId="9" fillId="0" borderId="11" xfId="0" applyFont="1" applyBorder="1"/>
    <xf numFmtId="0" fontId="9" fillId="0" borderId="13" xfId="0" applyFont="1" applyBorder="1"/>
    <xf numFmtId="0" fontId="9" fillId="0" borderId="17" xfId="0" applyFont="1" applyBorder="1"/>
    <xf numFmtId="0" fontId="9" fillId="0" borderId="14" xfId="0" applyFont="1" applyBorder="1"/>
    <xf numFmtId="0" fontId="14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7" xfId="0" applyFont="1" applyBorder="1" applyAlignment="1">
      <alignment vertic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/>
    <xf numFmtId="0" fontId="13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textRotation="2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1" fontId="20" fillId="0" borderId="7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wrapText="1"/>
    </xf>
    <xf numFmtId="0" fontId="1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27" fillId="0" borderId="11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11" xfId="0" applyFont="1" applyBorder="1" applyAlignment="1">
      <alignment horizontal="center" vertical="top"/>
    </xf>
    <xf numFmtId="0" fontId="2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97" Type="http://schemas.openxmlformats.org/officeDocument/2006/relationships/theme" Target="theme/theme1.xml"/><Relationship Id="rId2" Type="http://schemas.openxmlformats.org/officeDocument/2006/relationships/worksheet" Target="worksheets/sheet2.xml"/><Relationship Id="rId96" Type="http://customschemas.google.com/relationships/workbookmetadata" Target="metadata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0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selection activeCell="U13" sqref="U13"/>
    </sheetView>
  </sheetViews>
  <sheetFormatPr defaultColWidth="14.42578125" defaultRowHeight="15" customHeight="1"/>
  <cols>
    <col min="1" max="1" width="20.7109375" customWidth="1"/>
    <col min="2" max="7" width="6.5703125" customWidth="1"/>
    <col min="8" max="9" width="5.85546875" customWidth="1"/>
    <col min="10" max="10" width="7.140625" customWidth="1"/>
    <col min="11" max="11" width="6.7109375" customWidth="1"/>
    <col min="12" max="12" width="7.7109375" customWidth="1"/>
    <col min="13" max="14" width="5.85546875" customWidth="1"/>
    <col min="15" max="15" width="6.140625" customWidth="1"/>
    <col min="16" max="16" width="9.42578125" customWidth="1"/>
    <col min="17" max="19" width="5.28515625" customWidth="1"/>
    <col min="20" max="20" width="9.85546875" customWidth="1"/>
    <col min="21" max="22" width="5.28515625" customWidth="1"/>
    <col min="23" max="23" width="7" customWidth="1"/>
    <col min="24" max="24" width="17.5703125" customWidth="1"/>
    <col min="25" max="26" width="9.140625" customWidth="1"/>
  </cols>
  <sheetData>
    <row r="1" spans="1:26" ht="30.75" customHeight="1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  <c r="W1" s="5"/>
      <c r="X1" s="5"/>
      <c r="Y1" s="5"/>
      <c r="Z1" s="5"/>
    </row>
    <row r="2" spans="1:26" ht="15.75" customHeight="1">
      <c r="A2" s="6" t="s">
        <v>1</v>
      </c>
      <c r="B2" s="6"/>
      <c r="C2" s="6"/>
      <c r="D2" s="6"/>
      <c r="E2" s="7"/>
      <c r="F2" s="7"/>
      <c r="G2" s="7"/>
      <c r="H2" s="4"/>
      <c r="I2" s="4"/>
      <c r="J2" s="4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8" t="s">
        <v>2</v>
      </c>
      <c r="B3" s="8"/>
      <c r="C3" s="8"/>
      <c r="D3" s="8"/>
      <c r="E3" s="9"/>
      <c r="F3" s="9"/>
      <c r="G3" s="9"/>
      <c r="H3" s="9"/>
      <c r="I3" s="9"/>
      <c r="J3" s="9"/>
      <c r="K3" s="5"/>
      <c r="L3" s="5"/>
      <c r="M3" s="5"/>
      <c r="N3" s="10" t="s">
        <v>3</v>
      </c>
      <c r="O3" s="5"/>
      <c r="P3" s="10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.25" customHeight="1">
      <c r="A4" s="11"/>
      <c r="B4" s="12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2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 t="s">
        <v>4</v>
      </c>
      <c r="B6" s="14" t="s">
        <v>53</v>
      </c>
      <c r="C6" s="15"/>
      <c r="D6" s="15"/>
      <c r="E6" s="4"/>
      <c r="F6" s="4"/>
      <c r="G6" s="4"/>
      <c r="H6" s="4"/>
      <c r="I6" s="4"/>
      <c r="J6" s="4"/>
      <c r="K6" s="4" t="s">
        <v>5</v>
      </c>
      <c r="L6" s="4"/>
      <c r="M6" s="4"/>
      <c r="N6" s="4"/>
      <c r="O6" s="16" t="s">
        <v>53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 t="s">
        <v>6</v>
      </c>
      <c r="B7" s="14" t="s">
        <v>120</v>
      </c>
      <c r="C7" s="15"/>
      <c r="D7" s="15"/>
      <c r="E7" s="4"/>
      <c r="F7" s="4"/>
      <c r="G7" s="4"/>
      <c r="H7" s="4"/>
      <c r="I7" s="4"/>
      <c r="J7" s="4"/>
      <c r="K7" s="4" t="s">
        <v>7</v>
      </c>
      <c r="L7" s="4"/>
      <c r="M7" s="4"/>
      <c r="N7" s="4"/>
      <c r="O7" s="17" t="s">
        <v>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 t="s">
        <v>9</v>
      </c>
      <c r="B8" s="15" t="s">
        <v>120</v>
      </c>
      <c r="C8" s="15"/>
      <c r="D8" s="15"/>
      <c r="E8" s="4"/>
      <c r="F8" s="4"/>
      <c r="G8" s="4"/>
      <c r="H8" s="4"/>
      <c r="I8" s="4"/>
      <c r="J8" s="4"/>
      <c r="K8" s="4" t="s">
        <v>10</v>
      </c>
      <c r="L8" s="4"/>
      <c r="M8" s="4"/>
      <c r="N8" s="4"/>
      <c r="O8" s="16" t="s">
        <v>53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18"/>
      <c r="L9" s="4"/>
      <c r="M9" s="4"/>
      <c r="N9" s="4"/>
      <c r="O9" s="1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7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40" t="s">
        <v>12</v>
      </c>
      <c r="B11" s="155" t="s">
        <v>13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6"/>
      <c r="O11" s="156" t="s">
        <v>14</v>
      </c>
      <c r="P11" s="145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41"/>
      <c r="B12" s="142" t="s">
        <v>15</v>
      </c>
      <c r="C12" s="136"/>
      <c r="D12" s="142" t="s">
        <v>16</v>
      </c>
      <c r="E12" s="136"/>
      <c r="F12" s="142" t="s">
        <v>17</v>
      </c>
      <c r="G12" s="136"/>
      <c r="H12" s="142" t="s">
        <v>18</v>
      </c>
      <c r="I12" s="138"/>
      <c r="J12" s="136"/>
      <c r="K12" s="142" t="s">
        <v>19</v>
      </c>
      <c r="L12" s="136"/>
      <c r="M12" s="142" t="s">
        <v>20</v>
      </c>
      <c r="N12" s="136"/>
      <c r="O12" s="146"/>
      <c r="P12" s="148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9" t="s">
        <v>21</v>
      </c>
      <c r="B13" s="135"/>
      <c r="C13" s="136"/>
      <c r="D13" s="135"/>
      <c r="E13" s="136"/>
      <c r="F13" s="135"/>
      <c r="G13" s="136"/>
      <c r="H13" s="137"/>
      <c r="I13" s="138"/>
      <c r="J13" s="136"/>
      <c r="K13" s="135"/>
      <c r="L13" s="136"/>
      <c r="M13" s="135"/>
      <c r="N13" s="136"/>
      <c r="O13" s="139"/>
      <c r="P13" s="136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0.25" customHeight="1">
      <c r="A14" s="19" t="s">
        <v>22</v>
      </c>
      <c r="B14" s="135"/>
      <c r="C14" s="136"/>
      <c r="D14" s="135"/>
      <c r="E14" s="136"/>
      <c r="F14" s="135"/>
      <c r="G14" s="136"/>
      <c r="H14" s="137"/>
      <c r="I14" s="138"/>
      <c r="J14" s="136"/>
      <c r="K14" s="135"/>
      <c r="L14" s="136"/>
      <c r="M14" s="135"/>
      <c r="N14" s="136"/>
      <c r="O14" s="139"/>
      <c r="P14" s="136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20" t="s">
        <v>23</v>
      </c>
      <c r="B15" s="135"/>
      <c r="C15" s="136"/>
      <c r="D15" s="135"/>
      <c r="E15" s="136"/>
      <c r="F15" s="135"/>
      <c r="G15" s="136"/>
      <c r="H15" s="137"/>
      <c r="I15" s="138"/>
      <c r="J15" s="136"/>
      <c r="K15" s="135"/>
      <c r="L15" s="136"/>
      <c r="M15" s="135"/>
      <c r="N15" s="136"/>
      <c r="O15" s="139"/>
      <c r="P15" s="136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20" t="s">
        <v>24</v>
      </c>
      <c r="B16" s="135"/>
      <c r="C16" s="136"/>
      <c r="D16" s="135"/>
      <c r="E16" s="136"/>
      <c r="F16" s="135"/>
      <c r="G16" s="136"/>
      <c r="H16" s="137"/>
      <c r="I16" s="138"/>
      <c r="J16" s="136"/>
      <c r="K16" s="135"/>
      <c r="L16" s="136"/>
      <c r="M16" s="135"/>
      <c r="N16" s="136"/>
      <c r="O16" s="139"/>
      <c r="P16" s="136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20" t="s">
        <v>25</v>
      </c>
      <c r="B17" s="135"/>
      <c r="C17" s="136"/>
      <c r="D17" s="135"/>
      <c r="E17" s="136"/>
      <c r="F17" s="135"/>
      <c r="G17" s="136"/>
      <c r="H17" s="137"/>
      <c r="I17" s="138"/>
      <c r="J17" s="136"/>
      <c r="K17" s="135"/>
      <c r="L17" s="136"/>
      <c r="M17" s="135"/>
      <c r="N17" s="136"/>
      <c r="O17" s="139"/>
      <c r="P17" s="136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19" t="s">
        <v>26</v>
      </c>
      <c r="B18" s="135"/>
      <c r="C18" s="136"/>
      <c r="D18" s="135"/>
      <c r="E18" s="136"/>
      <c r="F18" s="135"/>
      <c r="G18" s="136"/>
      <c r="H18" s="137"/>
      <c r="I18" s="138"/>
      <c r="J18" s="136"/>
      <c r="K18" s="135"/>
      <c r="L18" s="136"/>
      <c r="M18" s="135"/>
      <c r="N18" s="136"/>
      <c r="O18" s="139"/>
      <c r="P18" s="136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19" t="s">
        <v>27</v>
      </c>
      <c r="B19" s="135"/>
      <c r="C19" s="136"/>
      <c r="D19" s="135"/>
      <c r="E19" s="136"/>
      <c r="F19" s="135"/>
      <c r="G19" s="136"/>
      <c r="H19" s="137"/>
      <c r="I19" s="138"/>
      <c r="J19" s="136"/>
      <c r="K19" s="135"/>
      <c r="L19" s="136"/>
      <c r="M19" s="135"/>
      <c r="N19" s="136"/>
      <c r="O19" s="139"/>
      <c r="P19" s="136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19" t="s">
        <v>28</v>
      </c>
      <c r="B20" s="135"/>
      <c r="C20" s="136"/>
      <c r="D20" s="135"/>
      <c r="E20" s="136"/>
      <c r="F20" s="135"/>
      <c r="G20" s="136"/>
      <c r="H20" s="137"/>
      <c r="I20" s="138"/>
      <c r="J20" s="136"/>
      <c r="K20" s="135"/>
      <c r="L20" s="136"/>
      <c r="M20" s="135"/>
      <c r="N20" s="136"/>
      <c r="O20" s="139"/>
      <c r="P20" s="136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21" t="s">
        <v>29</v>
      </c>
      <c r="B21" s="135"/>
      <c r="C21" s="136"/>
      <c r="D21" s="135"/>
      <c r="E21" s="136"/>
      <c r="F21" s="135"/>
      <c r="G21" s="136"/>
      <c r="H21" s="137"/>
      <c r="I21" s="138"/>
      <c r="J21" s="136"/>
      <c r="K21" s="135"/>
      <c r="L21" s="136"/>
      <c r="M21" s="135"/>
      <c r="N21" s="136"/>
      <c r="O21" s="139"/>
      <c r="P21" s="136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19" t="s">
        <v>30</v>
      </c>
      <c r="B22" s="135"/>
      <c r="C22" s="136"/>
      <c r="D22" s="135"/>
      <c r="E22" s="136"/>
      <c r="F22" s="135"/>
      <c r="G22" s="136"/>
      <c r="H22" s="137"/>
      <c r="I22" s="138"/>
      <c r="J22" s="136"/>
      <c r="K22" s="135"/>
      <c r="L22" s="136"/>
      <c r="M22" s="135"/>
      <c r="N22" s="136"/>
      <c r="O22" s="139"/>
      <c r="P22" s="136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2" t="s">
        <v>31</v>
      </c>
      <c r="B23" s="139"/>
      <c r="C23" s="136"/>
      <c r="D23" s="139"/>
      <c r="E23" s="136"/>
      <c r="F23" s="139"/>
      <c r="G23" s="136"/>
      <c r="H23" s="139"/>
      <c r="I23" s="138"/>
      <c r="J23" s="136"/>
      <c r="K23" s="139"/>
      <c r="L23" s="136"/>
      <c r="M23" s="139"/>
      <c r="N23" s="136"/>
      <c r="O23" s="139"/>
      <c r="P23" s="136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" t="s">
        <v>32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>
      <c r="A27" s="140" t="s">
        <v>12</v>
      </c>
      <c r="B27" s="142" t="s">
        <v>33</v>
      </c>
      <c r="C27" s="138"/>
      <c r="D27" s="138"/>
      <c r="E27" s="136"/>
      <c r="F27" s="142" t="s">
        <v>34</v>
      </c>
      <c r="G27" s="138"/>
      <c r="H27" s="138"/>
      <c r="I27" s="136"/>
      <c r="J27" s="140" t="s">
        <v>35</v>
      </c>
      <c r="K27" s="140" t="s">
        <v>36</v>
      </c>
      <c r="L27" s="140" t="s">
        <v>37</v>
      </c>
      <c r="M27" s="143" t="s">
        <v>38</v>
      </c>
      <c r="N27" s="144"/>
      <c r="O27" s="144"/>
      <c r="P27" s="14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41"/>
      <c r="B28" s="23">
        <v>1</v>
      </c>
      <c r="C28" s="23">
        <v>2</v>
      </c>
      <c r="D28" s="23">
        <v>3</v>
      </c>
      <c r="E28" s="23">
        <v>4</v>
      </c>
      <c r="F28" s="23">
        <v>1</v>
      </c>
      <c r="G28" s="23">
        <v>2</v>
      </c>
      <c r="H28" s="23">
        <v>3</v>
      </c>
      <c r="I28" s="23">
        <v>4</v>
      </c>
      <c r="J28" s="141"/>
      <c r="K28" s="141"/>
      <c r="L28" s="141"/>
      <c r="M28" s="146"/>
      <c r="N28" s="147"/>
      <c r="O28" s="147"/>
      <c r="P28" s="148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24" t="s">
        <v>21</v>
      </c>
      <c r="B29" s="25"/>
      <c r="C29" s="25"/>
      <c r="D29" s="25"/>
      <c r="E29" s="25"/>
      <c r="F29" s="25"/>
      <c r="G29" s="25"/>
      <c r="H29" s="25"/>
      <c r="I29" s="26"/>
      <c r="J29" s="25"/>
      <c r="K29" s="25"/>
      <c r="L29" s="27"/>
      <c r="M29" s="152"/>
      <c r="N29" s="138"/>
      <c r="O29" s="138"/>
      <c r="P29" s="136"/>
      <c r="Q29" s="5"/>
      <c r="R29" s="5"/>
      <c r="S29" s="28"/>
      <c r="T29" s="28"/>
      <c r="U29" s="5"/>
      <c r="V29" s="5"/>
      <c r="W29" s="5"/>
      <c r="X29" s="5"/>
      <c r="Y29" s="5"/>
      <c r="Z29" s="5"/>
    </row>
    <row r="30" spans="1:26" ht="17.25" customHeight="1">
      <c r="A30" s="24" t="s">
        <v>22</v>
      </c>
      <c r="B30" s="29"/>
      <c r="C30" s="29"/>
      <c r="D30" s="30"/>
      <c r="E30" s="30"/>
      <c r="F30" s="31"/>
      <c r="G30" s="31"/>
      <c r="H30" s="26"/>
      <c r="I30" s="26"/>
      <c r="J30" s="32"/>
      <c r="K30" s="33"/>
      <c r="L30" s="27"/>
      <c r="M30" s="149"/>
      <c r="N30" s="138"/>
      <c r="O30" s="138"/>
      <c r="P30" s="136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7.25" customHeight="1">
      <c r="A31" s="34" t="s">
        <v>23</v>
      </c>
      <c r="B31" s="35"/>
      <c r="C31" s="35"/>
      <c r="D31" s="36"/>
      <c r="E31" s="25"/>
      <c r="F31" s="25"/>
      <c r="G31" s="25"/>
      <c r="H31" s="25"/>
      <c r="I31" s="26"/>
      <c r="J31" s="32"/>
      <c r="K31" s="37"/>
      <c r="L31" s="27"/>
      <c r="M31" s="149"/>
      <c r="N31" s="138"/>
      <c r="O31" s="138"/>
      <c r="P31" s="136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7.25" customHeight="1">
      <c r="A32" s="34" t="s">
        <v>24</v>
      </c>
      <c r="B32" s="35"/>
      <c r="C32" s="35"/>
      <c r="D32" s="38"/>
      <c r="E32" s="25"/>
      <c r="F32" s="25"/>
      <c r="G32" s="25"/>
      <c r="H32" s="25"/>
      <c r="I32" s="26"/>
      <c r="J32" s="32"/>
      <c r="K32" s="37"/>
      <c r="L32" s="27"/>
      <c r="M32" s="149"/>
      <c r="N32" s="138"/>
      <c r="O32" s="138"/>
      <c r="P32" s="136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7.25" customHeight="1">
      <c r="A33" s="34" t="s">
        <v>25</v>
      </c>
      <c r="B33" s="35"/>
      <c r="C33" s="35"/>
      <c r="D33" s="36"/>
      <c r="E33" s="26"/>
      <c r="F33" s="26"/>
      <c r="G33" s="26"/>
      <c r="H33" s="26"/>
      <c r="I33" s="26"/>
      <c r="J33" s="35"/>
      <c r="K33" s="37"/>
      <c r="L33" s="27"/>
      <c r="M33" s="149"/>
      <c r="N33" s="138"/>
      <c r="O33" s="138"/>
      <c r="P33" s="136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7.25" customHeight="1">
      <c r="A34" s="24" t="s">
        <v>26</v>
      </c>
      <c r="B34" s="35"/>
      <c r="C34" s="35"/>
      <c r="D34" s="26"/>
      <c r="E34" s="26"/>
      <c r="F34" s="26"/>
      <c r="G34" s="26"/>
      <c r="H34" s="36"/>
      <c r="I34" s="26"/>
      <c r="J34" s="35"/>
      <c r="K34" s="37"/>
      <c r="L34" s="27"/>
      <c r="M34" s="149"/>
      <c r="N34" s="138"/>
      <c r="O34" s="138"/>
      <c r="P34" s="136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7.25" customHeight="1">
      <c r="A35" s="24" t="s">
        <v>27</v>
      </c>
      <c r="B35" s="35"/>
      <c r="C35" s="35"/>
      <c r="D35" s="26"/>
      <c r="E35" s="26"/>
      <c r="F35" s="37"/>
      <c r="G35" s="26"/>
      <c r="H35" s="26"/>
      <c r="I35" s="26"/>
      <c r="J35" s="39"/>
      <c r="K35" s="37"/>
      <c r="L35" s="27"/>
      <c r="M35" s="152"/>
      <c r="N35" s="138"/>
      <c r="O35" s="138"/>
      <c r="P35" s="136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7.25" customHeight="1">
      <c r="A36" s="24" t="s">
        <v>28</v>
      </c>
      <c r="B36" s="26"/>
      <c r="C36" s="25"/>
      <c r="D36" s="25"/>
      <c r="E36" s="26"/>
      <c r="F36" s="25"/>
      <c r="G36" s="25"/>
      <c r="H36" s="30"/>
      <c r="I36" s="26"/>
      <c r="J36" s="30"/>
      <c r="K36" s="37"/>
      <c r="L36" s="27"/>
      <c r="M36" s="149"/>
      <c r="N36" s="138"/>
      <c r="O36" s="138"/>
      <c r="P36" s="136"/>
      <c r="Q36" s="5"/>
      <c r="R36" s="5"/>
      <c r="S36" s="5"/>
      <c r="T36" s="28"/>
      <c r="U36" s="5"/>
      <c r="V36" s="5"/>
      <c r="W36" s="5"/>
      <c r="X36" s="5"/>
      <c r="Y36" s="5"/>
      <c r="Z36" s="5"/>
    </row>
    <row r="37" spans="1:26" ht="17.25" customHeight="1">
      <c r="A37" s="40" t="s">
        <v>29</v>
      </c>
      <c r="B37" s="26"/>
      <c r="C37" s="25"/>
      <c r="D37" s="26"/>
      <c r="E37" s="26"/>
      <c r="F37" s="25"/>
      <c r="G37" s="25"/>
      <c r="H37" s="26"/>
      <c r="I37" s="26"/>
      <c r="J37" s="30"/>
      <c r="K37" s="37"/>
      <c r="L37" s="27"/>
      <c r="M37" s="149"/>
      <c r="N37" s="138"/>
      <c r="O37" s="138"/>
      <c r="P37" s="136"/>
      <c r="Q37" s="5"/>
      <c r="R37" s="5"/>
      <c r="S37" s="5"/>
      <c r="T37" s="28"/>
      <c r="U37" s="5"/>
      <c r="V37" s="5"/>
      <c r="W37" s="5"/>
      <c r="X37" s="5"/>
      <c r="Y37" s="5"/>
      <c r="Z37" s="5"/>
    </row>
    <row r="38" spans="1:26" ht="17.25" customHeight="1">
      <c r="A38" s="24" t="s">
        <v>30</v>
      </c>
      <c r="B38" s="26"/>
      <c r="C38" s="25"/>
      <c r="D38" s="26"/>
      <c r="E38" s="26"/>
      <c r="F38" s="25"/>
      <c r="G38" s="25"/>
      <c r="H38" s="26"/>
      <c r="I38" s="26"/>
      <c r="J38" s="30"/>
      <c r="K38" s="37"/>
      <c r="L38" s="27"/>
      <c r="M38" s="149"/>
      <c r="N38" s="138"/>
      <c r="O38" s="138"/>
      <c r="P38" s="136"/>
      <c r="Q38" s="5"/>
      <c r="R38" s="5"/>
      <c r="S38" s="5"/>
      <c r="T38" s="28"/>
      <c r="U38" s="5"/>
      <c r="V38" s="5"/>
      <c r="W38" s="5"/>
      <c r="X38" s="5"/>
      <c r="Y38" s="5"/>
      <c r="Z38" s="5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150" t="s">
        <v>40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1"/>
      <c r="B41" s="41" t="s">
        <v>41</v>
      </c>
      <c r="C41" s="4"/>
      <c r="D41" s="4"/>
      <c r="E41" s="42"/>
      <c r="F41" s="4"/>
      <c r="G41" s="4"/>
      <c r="H41" s="4"/>
      <c r="I41" s="4"/>
      <c r="J41" s="4"/>
      <c r="K41" s="4"/>
      <c r="L41" s="4"/>
      <c r="N41" s="41" t="s">
        <v>42</v>
      </c>
      <c r="O41" s="4"/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3"/>
      <c r="B42" s="43" t="s">
        <v>43</v>
      </c>
      <c r="C42" s="4"/>
      <c r="D42" s="4"/>
      <c r="E42" s="4"/>
      <c r="F42" s="4"/>
      <c r="G42" s="4"/>
      <c r="H42" s="4"/>
      <c r="I42" s="4"/>
      <c r="J42" s="4"/>
      <c r="K42" s="4"/>
      <c r="L42" s="4"/>
      <c r="N42" s="41" t="s">
        <v>44</v>
      </c>
      <c r="O42" s="4"/>
      <c r="P42" s="41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3"/>
      <c r="D43" s="43"/>
      <c r="E43" s="4"/>
      <c r="F43" s="4"/>
      <c r="G43" s="4"/>
      <c r="H43" s="4"/>
      <c r="I43" s="4"/>
      <c r="J43" s="4"/>
      <c r="K43" s="4"/>
      <c r="L43" s="4"/>
      <c r="N43" s="44"/>
      <c r="O43" s="4"/>
      <c r="P43" s="43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3"/>
      <c r="D44" s="43"/>
      <c r="E44" s="4"/>
      <c r="F44" s="4"/>
      <c r="G44" s="4"/>
      <c r="H44" s="4"/>
      <c r="I44" s="4"/>
      <c r="J44" s="4"/>
      <c r="K44" s="4"/>
      <c r="L44" s="4"/>
      <c r="N44" s="44"/>
      <c r="O44" s="4"/>
      <c r="P44" s="43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3"/>
      <c r="D45" s="43"/>
      <c r="E45" s="4"/>
      <c r="F45" s="4"/>
      <c r="G45" s="4"/>
      <c r="H45" s="4"/>
      <c r="I45" s="4"/>
      <c r="J45" s="4"/>
      <c r="K45" s="4"/>
      <c r="L45" s="4"/>
      <c r="N45" s="44"/>
      <c r="O45" s="4"/>
      <c r="P45" s="43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3"/>
      <c r="D46" s="43"/>
      <c r="E46" s="4"/>
      <c r="F46" s="4"/>
      <c r="G46" s="4"/>
      <c r="H46" s="4"/>
      <c r="I46" s="4"/>
      <c r="J46" s="4"/>
      <c r="K46" s="4"/>
      <c r="L46" s="4"/>
      <c r="N46" s="44"/>
      <c r="O46" s="4"/>
      <c r="P46" s="43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3"/>
      <c r="D47" s="43"/>
      <c r="E47" s="4"/>
      <c r="F47" s="4"/>
      <c r="G47" s="4"/>
      <c r="H47" s="4"/>
      <c r="I47" s="4"/>
      <c r="J47" s="4"/>
      <c r="K47" s="4"/>
      <c r="L47" s="4"/>
      <c r="N47" s="44"/>
      <c r="O47" s="4"/>
      <c r="P47" s="43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3"/>
      <c r="D48" s="43"/>
      <c r="E48" s="4"/>
      <c r="F48" s="4"/>
      <c r="G48" s="4"/>
      <c r="H48" s="4"/>
      <c r="I48" s="4"/>
      <c r="J48" s="4"/>
      <c r="K48" s="4"/>
      <c r="L48" s="4"/>
      <c r="N48" s="44"/>
      <c r="O48" s="4"/>
      <c r="P48" s="43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1"/>
      <c r="B49" s="45" t="s">
        <v>159</v>
      </c>
      <c r="C49" s="4"/>
      <c r="D49" s="4"/>
      <c r="E49" s="46"/>
      <c r="F49" s="4"/>
      <c r="G49" s="4"/>
      <c r="H49" s="4"/>
      <c r="I49" s="4"/>
      <c r="J49" s="4"/>
      <c r="K49" s="4"/>
      <c r="L49" s="4"/>
      <c r="N49" s="47" t="s">
        <v>159</v>
      </c>
      <c r="O49" s="4"/>
      <c r="P49" s="46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B16:C16"/>
    <mergeCell ref="D16:E16"/>
    <mergeCell ref="F16:G16"/>
    <mergeCell ref="H16:J16"/>
    <mergeCell ref="K16:L16"/>
    <mergeCell ref="M16:N16"/>
    <mergeCell ref="O16:P16"/>
    <mergeCell ref="B23:C23"/>
    <mergeCell ref="D23:E23"/>
    <mergeCell ref="F23:G23"/>
    <mergeCell ref="H23:J23"/>
    <mergeCell ref="K23:L23"/>
    <mergeCell ref="M23:N23"/>
    <mergeCell ref="O23:P23"/>
    <mergeCell ref="H14:J14"/>
    <mergeCell ref="K14:L14"/>
    <mergeCell ref="M14:N14"/>
    <mergeCell ref="O14:P14"/>
    <mergeCell ref="B15:C15"/>
    <mergeCell ref="D15:E15"/>
    <mergeCell ref="F15:G15"/>
    <mergeCell ref="H15:J15"/>
    <mergeCell ref="K15:L15"/>
    <mergeCell ref="M15:N15"/>
    <mergeCell ref="O15:P15"/>
    <mergeCell ref="B14:C14"/>
    <mergeCell ref="D14:E14"/>
    <mergeCell ref="F14:G14"/>
    <mergeCell ref="H12:J12"/>
    <mergeCell ref="K12:L12"/>
    <mergeCell ref="H13:J13"/>
    <mergeCell ref="K13:L13"/>
    <mergeCell ref="M13:N13"/>
    <mergeCell ref="O13:P13"/>
    <mergeCell ref="A5:O5"/>
    <mergeCell ref="A11:A12"/>
    <mergeCell ref="B11:N11"/>
    <mergeCell ref="O11:P12"/>
    <mergeCell ref="D12:E12"/>
    <mergeCell ref="F12:G12"/>
    <mergeCell ref="M12:N12"/>
    <mergeCell ref="B12:C12"/>
    <mergeCell ref="B13:C13"/>
    <mergeCell ref="D13:E13"/>
    <mergeCell ref="F13:G13"/>
    <mergeCell ref="M38:P38"/>
    <mergeCell ref="A40:P40"/>
    <mergeCell ref="M29:P29"/>
    <mergeCell ref="M30:P30"/>
    <mergeCell ref="M31:P31"/>
    <mergeCell ref="M32:P32"/>
    <mergeCell ref="M33:P33"/>
    <mergeCell ref="M34:P34"/>
    <mergeCell ref="M35:P35"/>
    <mergeCell ref="A27:A28"/>
    <mergeCell ref="B27:E27"/>
    <mergeCell ref="F27:I27"/>
    <mergeCell ref="J27:J28"/>
    <mergeCell ref="K27:K28"/>
    <mergeCell ref="L27:L28"/>
    <mergeCell ref="M27:P28"/>
    <mergeCell ref="M36:P36"/>
    <mergeCell ref="M37:P37"/>
    <mergeCell ref="B21:C21"/>
    <mergeCell ref="D21:E21"/>
    <mergeCell ref="F21:G21"/>
    <mergeCell ref="H21:J21"/>
    <mergeCell ref="K21:L21"/>
    <mergeCell ref="M21:N21"/>
    <mergeCell ref="O21:P21"/>
    <mergeCell ref="B22:C22"/>
    <mergeCell ref="D22:E22"/>
    <mergeCell ref="F22:G22"/>
    <mergeCell ref="H22:J22"/>
    <mergeCell ref="K22:L22"/>
    <mergeCell ref="M22:N22"/>
    <mergeCell ref="O22:P22"/>
    <mergeCell ref="B19:C19"/>
    <mergeCell ref="D19:E19"/>
    <mergeCell ref="F19:G19"/>
    <mergeCell ref="H19:J19"/>
    <mergeCell ref="K19:L19"/>
    <mergeCell ref="M19:N19"/>
    <mergeCell ref="O19:P19"/>
    <mergeCell ref="B20:C20"/>
    <mergeCell ref="D20:E20"/>
    <mergeCell ref="F20:G20"/>
    <mergeCell ref="H20:J20"/>
    <mergeCell ref="K20:L20"/>
    <mergeCell ref="M20:N20"/>
    <mergeCell ref="O20:P20"/>
    <mergeCell ref="B17:C17"/>
    <mergeCell ref="D17:E17"/>
    <mergeCell ref="F17:G17"/>
    <mergeCell ref="H17:J17"/>
    <mergeCell ref="K17:L17"/>
    <mergeCell ref="M17:N17"/>
    <mergeCell ref="O17:P17"/>
    <mergeCell ref="B18:C18"/>
    <mergeCell ref="D18:E18"/>
    <mergeCell ref="F18:G18"/>
    <mergeCell ref="H18:J18"/>
    <mergeCell ref="K18:L18"/>
    <mergeCell ref="M18:N18"/>
    <mergeCell ref="O18:P18"/>
  </mergeCells>
  <pageMargins left="0.19685039370078738" right="0.19685039370078738" top="0.59055118110236215" bottom="0.5905511811023621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workbookViewId="0">
      <selection activeCell="J32" sqref="J32"/>
    </sheetView>
  </sheetViews>
  <sheetFormatPr defaultColWidth="14.42578125" defaultRowHeight="15" customHeight="1"/>
  <cols>
    <col min="1" max="1" width="7.42578125" customWidth="1"/>
    <col min="2" max="2" width="18.140625" customWidth="1"/>
    <col min="3" max="3" width="6.5703125" customWidth="1"/>
    <col min="4" max="4" width="7.42578125" customWidth="1"/>
    <col min="5" max="5" width="9.7109375" customWidth="1"/>
    <col min="6" max="6" width="30" customWidth="1"/>
    <col min="7" max="7" width="6.5703125" customWidth="1"/>
    <col min="8" max="8" width="9.140625" customWidth="1"/>
    <col min="9" max="9" width="28" customWidth="1"/>
    <col min="10" max="10" width="18.7109375" customWidth="1"/>
    <col min="11" max="13" width="9.140625" customWidth="1"/>
  </cols>
  <sheetData>
    <row r="1" spans="1:26" ht="23.25">
      <c r="A1" s="48" t="s">
        <v>0</v>
      </c>
      <c r="B1" s="3"/>
      <c r="C1" s="3"/>
      <c r="D1" s="49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7" t="s">
        <v>1</v>
      </c>
      <c r="B2" s="7"/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" t="s">
        <v>45</v>
      </c>
      <c r="B3" s="9"/>
      <c r="C3" s="9"/>
      <c r="D3" s="9"/>
      <c r="E3" s="9"/>
      <c r="F3" s="9"/>
      <c r="G3" s="9"/>
      <c r="H3" s="9"/>
      <c r="I3" s="9" t="s">
        <v>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.25" customHeight="1">
      <c r="A4" s="50"/>
      <c r="B4" s="13"/>
      <c r="C4" s="13"/>
      <c r="D4" s="13"/>
      <c r="E4" s="13"/>
      <c r="F4" s="13"/>
      <c r="G4" s="13"/>
      <c r="H4" s="13"/>
      <c r="I4" s="5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58" t="s">
        <v>46</v>
      </c>
      <c r="B5" s="151"/>
      <c r="C5" s="151"/>
      <c r="D5" s="151"/>
      <c r="E5" s="151"/>
      <c r="F5" s="151"/>
      <c r="G5" s="151"/>
      <c r="H5" s="151"/>
      <c r="I5" s="15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2" t="s">
        <v>47</v>
      </c>
      <c r="B7" s="42"/>
      <c r="C7" s="52" t="s">
        <v>53</v>
      </c>
      <c r="D7" s="4"/>
      <c r="E7" s="53"/>
      <c r="F7" s="53"/>
      <c r="G7" s="7"/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2" t="s">
        <v>48</v>
      </c>
      <c r="B8" s="42"/>
      <c r="C8" s="52" t="s">
        <v>53</v>
      </c>
      <c r="D8" s="4"/>
      <c r="E8" s="53"/>
      <c r="F8" s="53"/>
      <c r="G8" s="7" t="s">
        <v>49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2" t="s">
        <v>50</v>
      </c>
      <c r="B9" s="42"/>
      <c r="C9" s="52" t="s">
        <v>53</v>
      </c>
      <c r="D9" s="4"/>
      <c r="E9" s="53"/>
      <c r="F9" s="53"/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2" t="s">
        <v>7</v>
      </c>
      <c r="B10" s="42"/>
      <c r="C10" s="54" t="s">
        <v>53</v>
      </c>
      <c r="D10" s="42"/>
      <c r="E10" s="42"/>
      <c r="F10" s="53"/>
      <c r="G10" s="7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2" t="s">
        <v>51</v>
      </c>
      <c r="B11" s="42"/>
      <c r="C11" s="52" t="s">
        <v>53</v>
      </c>
      <c r="D11" s="42"/>
      <c r="E11" s="42"/>
      <c r="F11" s="4"/>
      <c r="G11" s="55"/>
      <c r="H11" s="5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5" customHeight="1">
      <c r="A12" s="42" t="s">
        <v>52</v>
      </c>
      <c r="B12" s="42"/>
      <c r="C12" s="56" t="s">
        <v>53</v>
      </c>
      <c r="D12" s="4"/>
      <c r="E12" s="4"/>
      <c r="F12" s="4"/>
      <c r="G12" s="55"/>
      <c r="H12" s="55"/>
      <c r="I12" s="55"/>
      <c r="J12" s="57"/>
      <c r="K12" s="57"/>
      <c r="L12" s="57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" t="s">
        <v>54</v>
      </c>
      <c r="B14" s="5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>
      <c r="A15" s="58" t="s">
        <v>55</v>
      </c>
      <c r="B15" s="59" t="s">
        <v>56</v>
      </c>
      <c r="C15" s="159" t="s">
        <v>57</v>
      </c>
      <c r="D15" s="138"/>
      <c r="E15" s="138"/>
      <c r="F15" s="138"/>
      <c r="G15" s="138"/>
      <c r="H15" s="138"/>
      <c r="I15" s="13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9.75" customHeight="1">
      <c r="A16" s="60">
        <v>1</v>
      </c>
      <c r="B16" s="24"/>
      <c r="C16" s="160"/>
      <c r="D16" s="138"/>
      <c r="E16" s="138"/>
      <c r="F16" s="138"/>
      <c r="G16" s="138"/>
      <c r="H16" s="138"/>
      <c r="I16" s="136"/>
      <c r="J16" s="61"/>
      <c r="K16" s="61"/>
      <c r="L16" s="61"/>
      <c r="M16" s="6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3.75" customHeight="1">
      <c r="A17" s="60">
        <v>2</v>
      </c>
      <c r="B17" s="24"/>
      <c r="C17" s="161"/>
      <c r="D17" s="147"/>
      <c r="E17" s="147"/>
      <c r="F17" s="147"/>
      <c r="G17" s="147"/>
      <c r="H17" s="147"/>
      <c r="I17" s="148"/>
      <c r="J17" s="61"/>
      <c r="K17" s="61"/>
      <c r="L17" s="61"/>
      <c r="M17" s="6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.75" customHeight="1">
      <c r="A18" s="159" t="s">
        <v>58</v>
      </c>
      <c r="B18" s="136"/>
      <c r="C18" s="162" t="s">
        <v>59</v>
      </c>
      <c r="D18" s="138"/>
      <c r="E18" s="138"/>
      <c r="F18" s="138"/>
      <c r="G18" s="138"/>
      <c r="H18" s="138"/>
      <c r="I18" s="13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9.25" customHeight="1">
      <c r="A20" s="62" t="s">
        <v>60</v>
      </c>
      <c r="B20" s="63" t="s">
        <v>61</v>
      </c>
      <c r="C20" s="63"/>
      <c r="D20" s="63"/>
      <c r="E20" s="63"/>
      <c r="F20" s="55"/>
      <c r="G20" s="55"/>
      <c r="H20" s="55"/>
      <c r="I20" s="5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7" customHeight="1">
      <c r="A21" s="163" t="s">
        <v>55</v>
      </c>
      <c r="B21" s="164" t="s">
        <v>62</v>
      </c>
      <c r="C21" s="165" t="s">
        <v>63</v>
      </c>
      <c r="D21" s="157" t="s">
        <v>64</v>
      </c>
      <c r="E21" s="138"/>
      <c r="F21" s="136"/>
      <c r="G21" s="157" t="s">
        <v>65</v>
      </c>
      <c r="H21" s="138"/>
      <c r="I21" s="13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>
      <c r="A22" s="141"/>
      <c r="B22" s="141"/>
      <c r="C22" s="141"/>
      <c r="D22" s="64" t="s">
        <v>66</v>
      </c>
      <c r="E22" s="58" t="s">
        <v>67</v>
      </c>
      <c r="F22" s="64" t="s">
        <v>68</v>
      </c>
      <c r="G22" s="64" t="s">
        <v>66</v>
      </c>
      <c r="H22" s="64" t="s">
        <v>69</v>
      </c>
      <c r="I22" s="64" t="s">
        <v>68</v>
      </c>
      <c r="J22" s="4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8.25" customHeight="1">
      <c r="A23" s="65">
        <v>1</v>
      </c>
      <c r="B23" s="66" t="s">
        <v>70</v>
      </c>
      <c r="C23" s="67">
        <v>75</v>
      </c>
      <c r="D23" s="68"/>
      <c r="E23" s="69"/>
      <c r="F23" s="70"/>
      <c r="G23" s="26">
        <v>85</v>
      </c>
      <c r="H23" s="26"/>
      <c r="I23" s="7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0.25" customHeight="1">
      <c r="A24" s="65">
        <v>2</v>
      </c>
      <c r="B24" s="66" t="s">
        <v>72</v>
      </c>
      <c r="C24" s="67">
        <v>75</v>
      </c>
      <c r="D24" s="71"/>
      <c r="E24" s="72"/>
      <c r="F24" s="73"/>
      <c r="G24" s="74">
        <v>84</v>
      </c>
      <c r="H24" s="74"/>
      <c r="I24" s="7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16.25" customHeight="1">
      <c r="A25" s="75">
        <v>3</v>
      </c>
      <c r="B25" s="75" t="s">
        <v>23</v>
      </c>
      <c r="C25" s="76">
        <v>75</v>
      </c>
      <c r="D25" s="68"/>
      <c r="E25" s="77"/>
      <c r="F25" s="78"/>
      <c r="G25" s="79">
        <v>80</v>
      </c>
      <c r="H25" s="79"/>
      <c r="I25" s="7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0" customHeight="1">
      <c r="A26" s="65">
        <v>4</v>
      </c>
      <c r="B26" s="65" t="s">
        <v>24</v>
      </c>
      <c r="C26" s="80">
        <v>75</v>
      </c>
      <c r="D26" s="68"/>
      <c r="E26" s="38"/>
      <c r="F26" s="73"/>
      <c r="G26" s="38">
        <v>85</v>
      </c>
      <c r="H26" s="38"/>
      <c r="I26" s="7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92" customHeight="1">
      <c r="A27" s="65">
        <v>5</v>
      </c>
      <c r="B27" s="65" t="s">
        <v>74</v>
      </c>
      <c r="C27" s="80">
        <v>75</v>
      </c>
      <c r="D27" s="68"/>
      <c r="E27" s="26"/>
      <c r="F27" s="81"/>
      <c r="G27" s="26">
        <v>88</v>
      </c>
      <c r="H27" s="26"/>
      <c r="I27" s="8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>
      <c r="A28" s="82">
        <v>6</v>
      </c>
      <c r="B28" s="82" t="s">
        <v>26</v>
      </c>
      <c r="C28" s="83">
        <v>75</v>
      </c>
      <c r="D28" s="68"/>
      <c r="E28" s="84"/>
      <c r="F28" s="85"/>
      <c r="G28" s="84">
        <v>85</v>
      </c>
      <c r="H28" s="84"/>
      <c r="I28" s="8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7.25" customHeight="1">
      <c r="A29" s="65">
        <v>7</v>
      </c>
      <c r="B29" s="65" t="s">
        <v>27</v>
      </c>
      <c r="C29" s="67">
        <v>75</v>
      </c>
      <c r="D29" s="68"/>
      <c r="E29" s="69"/>
      <c r="F29" s="81"/>
      <c r="G29" s="26">
        <v>84</v>
      </c>
      <c r="H29" s="26"/>
      <c r="I29" s="7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99" customHeight="1">
      <c r="A30" s="65">
        <v>8</v>
      </c>
      <c r="B30" s="65" t="s">
        <v>28</v>
      </c>
      <c r="C30" s="67">
        <v>75</v>
      </c>
      <c r="D30" s="68"/>
      <c r="E30" s="77"/>
      <c r="F30" s="73"/>
      <c r="G30" s="86">
        <v>86</v>
      </c>
      <c r="H30" s="84"/>
      <c r="I30" s="7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3.75" customHeight="1">
      <c r="A31" s="65">
        <v>9</v>
      </c>
      <c r="B31" s="65" t="s">
        <v>29</v>
      </c>
      <c r="C31" s="67">
        <v>75</v>
      </c>
      <c r="D31" s="68"/>
      <c r="E31" s="87"/>
      <c r="F31" s="81"/>
      <c r="G31" s="88">
        <v>80</v>
      </c>
      <c r="H31" s="88"/>
      <c r="I31" s="8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16.25" customHeight="1">
      <c r="A32" s="65">
        <v>10</v>
      </c>
      <c r="B32" s="65" t="s">
        <v>30</v>
      </c>
      <c r="C32" s="67">
        <v>75</v>
      </c>
      <c r="D32" s="68"/>
      <c r="E32" s="87"/>
      <c r="F32" s="73"/>
      <c r="G32" s="88">
        <v>84</v>
      </c>
      <c r="H32" s="88"/>
      <c r="I32" s="8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8.5" customHeight="1">
      <c r="A33" s="157" t="s">
        <v>75</v>
      </c>
      <c r="B33" s="138"/>
      <c r="C33" s="136"/>
      <c r="D33" s="90"/>
      <c r="E33" s="166"/>
      <c r="F33" s="138"/>
      <c r="G33" s="90"/>
      <c r="H33" s="167"/>
      <c r="I33" s="13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3.75" customHeight="1">
      <c r="A34" s="157" t="s">
        <v>76</v>
      </c>
      <c r="B34" s="138"/>
      <c r="C34" s="136"/>
      <c r="D34" s="91"/>
      <c r="E34" s="168"/>
      <c r="F34" s="138"/>
      <c r="G34" s="92"/>
      <c r="H34" s="167"/>
      <c r="I34" s="13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" customHeight="1">
      <c r="A35" s="62"/>
      <c r="B35" s="62"/>
      <c r="C35" s="62"/>
      <c r="D35" s="62"/>
      <c r="E35" s="62"/>
      <c r="F35" s="62"/>
      <c r="G35" s="62"/>
      <c r="H35" s="62"/>
      <c r="I35" s="6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62"/>
      <c r="B36" s="157" t="s">
        <v>77</v>
      </c>
      <c r="C36" s="136"/>
      <c r="D36" s="62"/>
      <c r="E36" s="62"/>
      <c r="F36" s="62"/>
      <c r="G36" s="157" t="s">
        <v>78</v>
      </c>
      <c r="H36" s="138"/>
      <c r="I36" s="13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62"/>
      <c r="B37" s="21" t="s">
        <v>79</v>
      </c>
      <c r="C37" s="74" t="s">
        <v>39</v>
      </c>
      <c r="D37" s="62"/>
      <c r="E37" s="62"/>
      <c r="F37" s="62" t="s">
        <v>49</v>
      </c>
      <c r="G37" s="170" t="s">
        <v>80</v>
      </c>
      <c r="H37" s="136"/>
      <c r="I37" s="93" t="s">
        <v>81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>
      <c r="A38" s="62"/>
      <c r="B38" s="21" t="s">
        <v>82</v>
      </c>
      <c r="C38" s="74" t="s">
        <v>39</v>
      </c>
      <c r="D38" s="62"/>
      <c r="E38" s="62"/>
      <c r="F38" s="62"/>
      <c r="G38" s="170" t="s">
        <v>83</v>
      </c>
      <c r="H38" s="136"/>
      <c r="I38" s="93" t="s">
        <v>84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>
      <c r="A39" s="62"/>
      <c r="B39" s="21" t="s">
        <v>85</v>
      </c>
      <c r="C39" s="74" t="s">
        <v>39</v>
      </c>
      <c r="D39" s="62"/>
      <c r="E39" s="62"/>
      <c r="F39" s="62"/>
      <c r="G39" s="170" t="s">
        <v>86</v>
      </c>
      <c r="H39" s="136"/>
      <c r="I39" s="93" t="s">
        <v>87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62"/>
      <c r="B40" s="62"/>
      <c r="C40" s="62"/>
      <c r="D40" s="62"/>
      <c r="E40" s="62"/>
      <c r="F40" s="62"/>
      <c r="G40" s="170" t="s">
        <v>88</v>
      </c>
      <c r="H40" s="136"/>
      <c r="I40" s="93" t="s">
        <v>89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7"/>
      <c r="B41" s="7"/>
      <c r="C41" s="7"/>
      <c r="D41" s="7"/>
      <c r="E41" s="7"/>
      <c r="F41" s="7"/>
      <c r="G41" s="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94" t="s">
        <v>41</v>
      </c>
      <c r="C42" s="4"/>
      <c r="D42" s="4"/>
      <c r="E42" s="55"/>
      <c r="F42" s="4"/>
      <c r="G42" s="55"/>
      <c r="H42" s="55"/>
      <c r="I42" s="95" t="s">
        <v>40</v>
      </c>
      <c r="J42" s="4"/>
      <c r="K42" s="4"/>
      <c r="L42" s="4"/>
      <c r="M42" s="5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94" t="s">
        <v>90</v>
      </c>
      <c r="C43" s="4"/>
      <c r="D43" s="4"/>
      <c r="E43" s="4"/>
      <c r="F43" s="4"/>
      <c r="G43" s="17"/>
      <c r="H43" s="17"/>
      <c r="I43" s="96" t="s">
        <v>91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17"/>
      <c r="C44" s="4"/>
      <c r="D44" s="4"/>
      <c r="E44" s="4"/>
      <c r="F44" s="97"/>
      <c r="G44" s="9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17"/>
      <c r="C45" s="4"/>
      <c r="D45" s="4"/>
      <c r="E45" s="4"/>
      <c r="F45" s="97"/>
      <c r="G45" s="9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17"/>
      <c r="C46" s="4"/>
      <c r="D46" s="4"/>
      <c r="E46" s="4"/>
      <c r="F46" s="97"/>
      <c r="G46" s="9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17"/>
      <c r="C47" s="4"/>
      <c r="D47" s="4"/>
      <c r="E47" s="4"/>
      <c r="F47" s="97"/>
      <c r="G47" s="9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99" t="s">
        <v>92</v>
      </c>
      <c r="C48" s="4"/>
      <c r="D48" s="55"/>
      <c r="E48" s="55"/>
      <c r="F48" s="4"/>
      <c r="G48" s="100"/>
      <c r="H48" s="100"/>
      <c r="I48" s="99" t="s">
        <v>118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69"/>
      <c r="B49" s="151"/>
      <c r="C49" s="151"/>
      <c r="D49" s="151"/>
      <c r="E49" s="151"/>
      <c r="F49" s="151"/>
      <c r="G49" s="151"/>
      <c r="H49" s="151"/>
      <c r="I49" s="15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69" t="s">
        <v>93</v>
      </c>
      <c r="B50" s="151"/>
      <c r="C50" s="151"/>
      <c r="D50" s="151"/>
      <c r="E50" s="151"/>
      <c r="F50" s="151"/>
      <c r="G50" s="151"/>
      <c r="H50" s="151"/>
      <c r="I50" s="15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69" t="s">
        <v>94</v>
      </c>
      <c r="B51" s="151"/>
      <c r="C51" s="151"/>
      <c r="D51" s="151"/>
      <c r="E51" s="151"/>
      <c r="F51" s="151"/>
      <c r="G51" s="151"/>
      <c r="H51" s="151"/>
      <c r="I51" s="15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17"/>
      <c r="E52" s="5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17"/>
      <c r="E53" s="5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17"/>
      <c r="E54" s="5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17"/>
      <c r="E55" s="5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83" t="s">
        <v>159</v>
      </c>
      <c r="B56" s="151"/>
      <c r="C56" s="151"/>
      <c r="D56" s="151"/>
      <c r="E56" s="151"/>
      <c r="F56" s="151"/>
      <c r="G56" s="151"/>
      <c r="H56" s="151"/>
      <c r="I56" s="15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7">
    <mergeCell ref="A56:I56"/>
    <mergeCell ref="G36:I36"/>
    <mergeCell ref="G37:H37"/>
    <mergeCell ref="G38:H38"/>
    <mergeCell ref="G39:H39"/>
    <mergeCell ref="G40:H40"/>
    <mergeCell ref="A49:I49"/>
    <mergeCell ref="A50:I50"/>
    <mergeCell ref="E33:F33"/>
    <mergeCell ref="H33:I33"/>
    <mergeCell ref="E34:F34"/>
    <mergeCell ref="H34:I34"/>
    <mergeCell ref="A51:I51"/>
    <mergeCell ref="A34:C34"/>
    <mergeCell ref="B36:C36"/>
    <mergeCell ref="B21:B22"/>
    <mergeCell ref="C21:C22"/>
    <mergeCell ref="A33:C33"/>
    <mergeCell ref="D21:F21"/>
    <mergeCell ref="G21:I21"/>
    <mergeCell ref="A5:I5"/>
    <mergeCell ref="C15:I15"/>
    <mergeCell ref="C16:I16"/>
    <mergeCell ref="C17:I17"/>
    <mergeCell ref="A18:B18"/>
    <mergeCell ref="C18:I18"/>
    <mergeCell ref="A21:A22"/>
  </mergeCells>
  <pageMargins left="0.19685039370078738" right="0.19685039370078738" top="0.59055118110236215" bottom="0.5905511811023621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1"/>
  <sheetViews>
    <sheetView tabSelected="1" workbookViewId="0">
      <selection activeCell="O21" sqref="O21"/>
    </sheetView>
  </sheetViews>
  <sheetFormatPr defaultColWidth="14.42578125" defaultRowHeight="15" customHeight="1"/>
  <cols>
    <col min="1" max="1" width="26.7109375" customWidth="1"/>
    <col min="2" max="2" width="8" customWidth="1"/>
    <col min="3" max="3" width="7.28515625" customWidth="1"/>
    <col min="4" max="4" width="15.28515625" customWidth="1"/>
    <col min="5" max="5" width="9.28515625" customWidth="1"/>
    <col min="6" max="6" width="8.140625" customWidth="1"/>
    <col min="7" max="7" width="10.7109375" customWidth="1"/>
    <col min="8" max="8" width="9.42578125" customWidth="1"/>
    <col min="9" max="9" width="16.28515625" customWidth="1"/>
    <col min="10" max="15" width="5.28515625" customWidth="1"/>
    <col min="16" max="16" width="9.140625" customWidth="1"/>
    <col min="17" max="17" width="17.5703125" customWidth="1"/>
    <col min="18" max="19" width="9.140625" customWidth="1"/>
    <col min="20" max="24" width="8.7109375" customWidth="1"/>
  </cols>
  <sheetData>
    <row r="1" spans="1:24" ht="23.25">
      <c r="A1" s="48" t="s">
        <v>0</v>
      </c>
      <c r="B1" s="2"/>
      <c r="C1" s="3"/>
      <c r="D1" s="3"/>
      <c r="E1" s="4"/>
      <c r="F1" s="5"/>
      <c r="G1" s="5"/>
      <c r="H1" s="5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</row>
    <row r="2" spans="1:24" ht="15.75" customHeight="1">
      <c r="A2" s="6" t="s">
        <v>1</v>
      </c>
      <c r="B2" s="6"/>
      <c r="C2" s="7"/>
      <c r="D2" s="7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5"/>
    </row>
    <row r="3" spans="1:24" ht="15.75" customHeight="1">
      <c r="A3" s="8" t="s">
        <v>95</v>
      </c>
      <c r="B3" s="8"/>
      <c r="C3" s="9"/>
      <c r="D3" s="9"/>
      <c r="E3" s="9"/>
      <c r="F3" s="5"/>
      <c r="G3" s="5"/>
      <c r="H3" s="10" t="s">
        <v>3</v>
      </c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</row>
    <row r="4" spans="1:24" ht="2.25" customHeight="1">
      <c r="A4" s="11"/>
      <c r="B4" s="12"/>
      <c r="C4" s="13"/>
      <c r="D4" s="13"/>
      <c r="E4" s="13"/>
      <c r="F4" s="13"/>
      <c r="G4" s="13"/>
      <c r="H4" s="13"/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5"/>
      <c r="V4" s="5"/>
      <c r="W4" s="5"/>
      <c r="X4" s="5"/>
    </row>
    <row r="5" spans="1:24" ht="12.75" customHeight="1">
      <c r="A5" s="153"/>
      <c r="B5" s="154"/>
      <c r="C5" s="154"/>
      <c r="D5" s="154"/>
      <c r="E5" s="154"/>
      <c r="F5" s="154"/>
      <c r="G5" s="154"/>
      <c r="H5" s="15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>
      <c r="A6" s="4" t="s">
        <v>4</v>
      </c>
      <c r="B6" s="52" t="s">
        <v>160</v>
      </c>
      <c r="C6" s="56"/>
      <c r="D6" s="56"/>
      <c r="E6" s="4"/>
      <c r="F6" s="4"/>
      <c r="G6" s="4" t="s">
        <v>5</v>
      </c>
      <c r="H6" s="4"/>
      <c r="I6" s="101" t="s">
        <v>120</v>
      </c>
      <c r="J6" s="4"/>
      <c r="K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>
      <c r="A7" s="4" t="s">
        <v>6</v>
      </c>
      <c r="B7" s="52" t="s">
        <v>53</v>
      </c>
      <c r="C7" s="56"/>
      <c r="D7" s="56"/>
      <c r="E7" s="4"/>
      <c r="F7" s="4"/>
      <c r="G7" s="4" t="s">
        <v>7</v>
      </c>
      <c r="H7" s="4"/>
      <c r="I7" s="54" t="s">
        <v>53</v>
      </c>
      <c r="J7" s="4"/>
      <c r="K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>
      <c r="A8" s="4" t="s">
        <v>9</v>
      </c>
      <c r="B8" s="56" t="s">
        <v>53</v>
      </c>
      <c r="C8" s="56"/>
      <c r="D8" s="56"/>
      <c r="E8" s="4"/>
      <c r="F8" s="4"/>
      <c r="G8" s="4" t="s">
        <v>10</v>
      </c>
      <c r="H8" s="4"/>
      <c r="I8" s="101" t="s">
        <v>53</v>
      </c>
      <c r="J8" s="4"/>
      <c r="K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>
      <c r="A10" s="7" t="s">
        <v>96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7.5" customHeight="1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.75" customHeight="1">
      <c r="A12" s="140" t="s">
        <v>12</v>
      </c>
      <c r="B12" s="143" t="s">
        <v>97</v>
      </c>
      <c r="C12" s="145"/>
      <c r="D12" s="142" t="s">
        <v>98</v>
      </c>
      <c r="E12" s="138"/>
      <c r="F12" s="138"/>
      <c r="G12" s="138"/>
      <c r="H12" s="136"/>
      <c r="I12" s="171" t="s">
        <v>99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30.75" customHeight="1">
      <c r="A13" s="141"/>
      <c r="B13" s="146"/>
      <c r="C13" s="148"/>
      <c r="D13" s="102" t="s">
        <v>33</v>
      </c>
      <c r="E13" s="142" t="s">
        <v>100</v>
      </c>
      <c r="F13" s="136"/>
      <c r="G13" s="142" t="s">
        <v>101</v>
      </c>
      <c r="H13" s="136"/>
      <c r="I13" s="14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6.5" customHeight="1">
      <c r="A14" s="24" t="s">
        <v>21</v>
      </c>
      <c r="B14" s="172" t="s">
        <v>102</v>
      </c>
      <c r="C14" s="136"/>
      <c r="D14" s="60" t="str">
        <f>IF(Rapot!S29&gt;85,"Sangat Baik",IF(Rapot!S29&gt;72,"Baik",IF(Rapot!S29&gt;59,"Cukup","Kurang")))</f>
        <v>Kurang</v>
      </c>
      <c r="E14" s="172" t="str">
        <f>IF(Rapot!J29&gt;85,"Sangat Baik",IF(Rapot!J29&gt;72,"Baik",IF(Rapot!J29&gt;59,"Cukup","Kurang")))</f>
        <v>Kurang</v>
      </c>
      <c r="F14" s="136"/>
      <c r="G14" s="172" t="str">
        <f>IF(Rapot!L29&gt;85,"Sangat Baik",IF(Rapot!L29&gt;72,"Baik",IF(Rapot!L29&gt;59,"Cukup","Kurang")))</f>
        <v>Kurang</v>
      </c>
      <c r="H14" s="136"/>
      <c r="I14" s="60" t="s">
        <v>103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6.5" customHeight="1">
      <c r="A15" s="24" t="s">
        <v>22</v>
      </c>
      <c r="B15" s="172" t="s">
        <v>102</v>
      </c>
      <c r="C15" s="136"/>
      <c r="D15" s="60" t="str">
        <f>IF(Rapot!S30&gt;85,"Sangat Baik",IF(Rapot!S30&gt;72,"Baik",IF(Rapot!S30&gt;59,"Cukup","Kurang")))</f>
        <v>Kurang</v>
      </c>
      <c r="E15" s="172" t="str">
        <f>IF(Rapot!J30&gt;85,"Sangat Baik",IF(Rapot!J30&gt;72,"Baik",IF(Rapot!J30&gt;59,"Cukup","Kurang")))</f>
        <v>Kurang</v>
      </c>
      <c r="F15" s="136"/>
      <c r="G15" s="172" t="str">
        <f>IF(Rapot!L30&gt;85,"Sangat Baik",IF(Rapot!L30&gt;72,"Baik",IF(Rapot!L30&gt;59,"Cukup","Kurang")))</f>
        <v>Kurang</v>
      </c>
      <c r="H15" s="136"/>
      <c r="I15" s="60" t="s">
        <v>103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6.5" customHeight="1">
      <c r="A16" s="34" t="s">
        <v>23</v>
      </c>
      <c r="B16" s="172" t="s">
        <v>102</v>
      </c>
      <c r="C16" s="136"/>
      <c r="D16" s="60" t="str">
        <f>IF(Rapot!S31&gt;85,"Sangat Baik",IF(Rapot!S31&gt;72,"Baik",IF(Rapot!S31&gt;59,"Cukup","Kurang")))</f>
        <v>Kurang</v>
      </c>
      <c r="E16" s="172" t="str">
        <f>IF(Rapot!J31&gt;85,"Sangat Baik",IF(Rapot!J31&gt;72,"Baik",IF(Rapot!J31&gt;59,"Cukup","Kurang")))</f>
        <v>Kurang</v>
      </c>
      <c r="F16" s="136"/>
      <c r="G16" s="172" t="str">
        <f>IF(Rapot!L31&gt;85,"Sangat Baik",IF(Rapot!L31&gt;72,"Baik",IF(Rapot!L31&gt;59,"Cukup","Kurang")))</f>
        <v>Kurang</v>
      </c>
      <c r="H16" s="136"/>
      <c r="I16" s="60" t="s">
        <v>103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.5" customHeight="1">
      <c r="A17" s="34" t="s">
        <v>24</v>
      </c>
      <c r="B17" s="172" t="s">
        <v>102</v>
      </c>
      <c r="C17" s="136"/>
      <c r="D17" s="60" t="str">
        <f>IF(Rapot!S32&gt;85,"Sangat Baik",IF(Rapot!S32&gt;72,"Baik",IF(Rapot!S32&gt;59,"Cukup","Kurang")))</f>
        <v>Kurang</v>
      </c>
      <c r="E17" s="172" t="str">
        <f>IF(Rapot!J32&gt;85,"Sangat Baik",IF(Rapot!J32&gt;72,"Baik",IF(Rapot!J32&gt;59,"Cukup","Kurang")))</f>
        <v>Kurang</v>
      </c>
      <c r="F17" s="136"/>
      <c r="G17" s="172" t="str">
        <f>IF(Rapot!L32&gt;85,"Sangat Baik",IF(Rapot!L32&gt;72,"Baik",IF(Rapot!L32&gt;59,"Cukup","Kurang")))</f>
        <v>Kurang</v>
      </c>
      <c r="H17" s="136"/>
      <c r="I17" s="60" t="s">
        <v>103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6.5" customHeight="1">
      <c r="A18" s="34" t="s">
        <v>25</v>
      </c>
      <c r="B18" s="172" t="s">
        <v>102</v>
      </c>
      <c r="C18" s="136"/>
      <c r="D18" s="60" t="str">
        <f>IF(Rapot!S33&gt;85,"Sangat Baik",IF(Rapot!S33&gt;72,"Baik",IF(Rapot!S33&gt;59,"Cukup","Kurang")))</f>
        <v>Kurang</v>
      </c>
      <c r="E18" s="172" t="str">
        <f>IF(Rapot!J33&gt;85,"Sangat Baik",IF(Rapot!J33&gt;72,"Baik",IF(Rapot!J33&gt;59,"Cukup","Kurang")))</f>
        <v>Kurang</v>
      </c>
      <c r="F18" s="136"/>
      <c r="G18" s="172" t="str">
        <f>IF(Rapot!L33&gt;85,"Sangat Baik",IF(Rapot!L33&gt;72,"Baik",IF(Rapot!L33&gt;59,"Cukup","Kurang")))</f>
        <v>Kurang</v>
      </c>
      <c r="H18" s="136"/>
      <c r="I18" s="60" t="s">
        <v>103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6.5" customHeight="1">
      <c r="A19" s="24" t="s">
        <v>26</v>
      </c>
      <c r="B19" s="172" t="s">
        <v>102</v>
      </c>
      <c r="C19" s="136"/>
      <c r="D19" s="60" t="str">
        <f>IF(Rapot!S34&gt;85,"Sangat Baik",IF(Rapot!S34&gt;72,"Baik",IF(Rapot!S34&gt;59,"Cukup","Kurang")))</f>
        <v>Kurang</v>
      </c>
      <c r="E19" s="172" t="str">
        <f>IF(Rapot!J34&gt;85,"Sangat Baik",IF(Rapot!J34&gt;72,"Baik",IF(Rapot!J34&gt;59,"Cukup","Kurang")))</f>
        <v>Kurang</v>
      </c>
      <c r="F19" s="136"/>
      <c r="G19" s="172" t="str">
        <f>IF(Rapot!L34&gt;85,"Sangat Baik",IF(Rapot!L34&gt;72,"Baik",IF(Rapot!L34&gt;59,"Cukup","Kurang")))</f>
        <v>Kurang</v>
      </c>
      <c r="H19" s="136"/>
      <c r="I19" s="60" t="s">
        <v>103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6.5" customHeight="1">
      <c r="A20" s="24" t="s">
        <v>27</v>
      </c>
      <c r="B20" s="172" t="s">
        <v>102</v>
      </c>
      <c r="C20" s="136"/>
      <c r="D20" s="60" t="str">
        <f>IF(Rapot!S35&gt;85,"Sangat Baik",IF(Rapot!S35&gt;72,"Baik",IF(Rapot!S35&gt;59,"Cukup","Kurang")))</f>
        <v>Kurang</v>
      </c>
      <c r="E20" s="172" t="str">
        <f>IF(Rapot!J35&gt;85,"Sangat Baik",IF(Rapot!J35&gt;72,"Baik",IF(Rapot!J35&gt;59,"Cukup","Kurang")))</f>
        <v>Kurang</v>
      </c>
      <c r="F20" s="136"/>
      <c r="G20" s="172" t="str">
        <f>IF(Rapot!L35&gt;85,"Sangat Baik",IF(Rapot!L35&gt;72,"Baik",IF(Rapot!L35&gt;59,"Cukup","Kurang")))</f>
        <v>Kurang</v>
      </c>
      <c r="H20" s="136"/>
      <c r="I20" s="60" t="s">
        <v>103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6.5" customHeight="1">
      <c r="A21" s="24" t="s">
        <v>28</v>
      </c>
      <c r="B21" s="172" t="s">
        <v>102</v>
      </c>
      <c r="C21" s="136"/>
      <c r="D21" s="60" t="str">
        <f>IF(Rapot!S36&gt;85,"Sangat Baik",IF(Rapot!S36&gt;72,"Baik",IF(Rapot!S36&gt;59,"Cukup","Kurang")))</f>
        <v>Kurang</v>
      </c>
      <c r="E21" s="172" t="str">
        <f>IF(Rapot!J36&gt;85,"Sangat Baik",IF(Rapot!J36&gt;72,"Baik",IF(Rapot!J36&gt;59,"Cukup","Kurang")))</f>
        <v>Kurang</v>
      </c>
      <c r="F21" s="136"/>
      <c r="G21" s="172" t="str">
        <f>IF(Rapot!L36&gt;85,"Sangat Baik",IF(Rapot!L36&gt;72,"Baik",IF(Rapot!L36&gt;59,"Cukup","Kurang")))</f>
        <v>Kurang</v>
      </c>
      <c r="H21" s="136"/>
      <c r="I21" s="60" t="s">
        <v>103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6.5" customHeight="1">
      <c r="A22" s="40" t="s">
        <v>29</v>
      </c>
      <c r="B22" s="172" t="s">
        <v>102</v>
      </c>
      <c r="C22" s="136"/>
      <c r="D22" s="60" t="str">
        <f>IF(Rapot!S37&gt;85,"Sangat Baik",IF(Rapot!S37&gt;72,"Baik",IF(Rapot!S37&gt;59,"Cukup","Kurang")))</f>
        <v>Kurang</v>
      </c>
      <c r="E22" s="172" t="str">
        <f>IF(Rapot!J37&gt;85,"Sangat Baik",IF(Rapot!J37&gt;72,"Baik",IF(Rapot!J37&gt;59,"Cukup","Kurang")))</f>
        <v>Kurang</v>
      </c>
      <c r="F22" s="136"/>
      <c r="G22" s="172" t="str">
        <f>IF(Rapot!L37&gt;85,"Sangat Baik",IF(Rapot!L37&gt;72,"Baik",IF(Rapot!L37&gt;59,"Cukup","Kurang")))</f>
        <v>Kurang</v>
      </c>
      <c r="H22" s="136"/>
      <c r="I22" s="60" t="s">
        <v>103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6.5" customHeight="1">
      <c r="A23" s="24" t="s">
        <v>30</v>
      </c>
      <c r="B23" s="172" t="s">
        <v>102</v>
      </c>
      <c r="C23" s="136"/>
      <c r="D23" s="60" t="str">
        <f>IF(Rapot!S38&gt;85,"Sangat Baik",IF(Rapot!S38&gt;72,"Baik",IF(Rapot!S38&gt;59,"Cukup","Kurang")))</f>
        <v>Kurang</v>
      </c>
      <c r="E23" s="172" t="str">
        <f>IF(Rapot!J38&gt;85,"Sangat Baik",IF(Rapot!J38&gt;72,"Baik",IF(Rapot!J38&gt;59,"Cukup","Kurang")))</f>
        <v>Kurang</v>
      </c>
      <c r="F23" s="136"/>
      <c r="G23" s="172" t="str">
        <f>IF(Rapot!L38&gt;85,"Sangat Baik",IF(Rapot!L38&gt;72,"Baik",IF(Rapot!L38&gt;59,"Cukup","Kurang")))</f>
        <v>Kurang</v>
      </c>
      <c r="H23" s="136"/>
      <c r="I23" s="60" t="s">
        <v>103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8" customHeight="1">
      <c r="A24" s="10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8" customHeight="1">
      <c r="A25" s="103" t="s">
        <v>99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23" t="s">
        <v>104</v>
      </c>
      <c r="B26" s="23" t="s">
        <v>105</v>
      </c>
      <c r="C26" s="142" t="s">
        <v>99</v>
      </c>
      <c r="D26" s="13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60" t="s">
        <v>106</v>
      </c>
      <c r="B27" s="60" t="s">
        <v>73</v>
      </c>
      <c r="C27" s="172" t="s">
        <v>107</v>
      </c>
      <c r="D27" s="13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60" t="s">
        <v>108</v>
      </c>
      <c r="B28" s="60" t="s">
        <v>71</v>
      </c>
      <c r="C28" s="172" t="s">
        <v>109</v>
      </c>
      <c r="D28" s="13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60" t="s">
        <v>110</v>
      </c>
      <c r="B29" s="60" t="s">
        <v>111</v>
      </c>
      <c r="C29" s="172" t="s">
        <v>112</v>
      </c>
      <c r="D29" s="13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60" t="s">
        <v>113</v>
      </c>
      <c r="B30" s="60" t="s">
        <v>114</v>
      </c>
      <c r="C30" s="172" t="s">
        <v>115</v>
      </c>
      <c r="D30" s="13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customHeight="1">
      <c r="A32" s="150" t="s">
        <v>40</v>
      </c>
      <c r="B32" s="151"/>
      <c r="C32" s="151"/>
      <c r="D32" s="151"/>
      <c r="E32" s="151"/>
      <c r="F32" s="151"/>
      <c r="G32" s="151"/>
      <c r="H32" s="151"/>
      <c r="I32" s="15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1"/>
      <c r="B33" s="4"/>
      <c r="C33" s="42"/>
      <c r="D33" s="4"/>
      <c r="E33" s="4"/>
      <c r="F33" s="4"/>
      <c r="G33" s="4"/>
      <c r="H33" s="41"/>
      <c r="I33" s="4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1"/>
      <c r="B34" s="41" t="s">
        <v>41</v>
      </c>
      <c r="C34" s="42"/>
      <c r="D34" s="4"/>
      <c r="E34" s="4"/>
      <c r="F34" s="4"/>
      <c r="G34" s="174" t="s">
        <v>116</v>
      </c>
      <c r="H34" s="151"/>
      <c r="I34" s="4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3"/>
      <c r="B35" s="43" t="s">
        <v>43</v>
      </c>
      <c r="C35" s="4"/>
      <c r="D35" s="4"/>
      <c r="E35" s="4"/>
      <c r="F35" s="4"/>
      <c r="G35" s="174" t="s">
        <v>44</v>
      </c>
      <c r="H35" s="151"/>
      <c r="I35" s="4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/>
      <c r="B36" s="4"/>
      <c r="C36" s="4"/>
      <c r="D36" s="4"/>
      <c r="E36" s="4"/>
      <c r="F36" s="4"/>
      <c r="G36" s="4"/>
      <c r="H36" s="43"/>
      <c r="I36" s="4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/>
      <c r="B37" s="4"/>
      <c r="C37" s="4"/>
      <c r="D37" s="4"/>
      <c r="E37" s="4"/>
      <c r="F37" s="4"/>
      <c r="G37" s="4"/>
      <c r="H37" s="43"/>
      <c r="I37" s="4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4"/>
      <c r="C38" s="4"/>
      <c r="D38" s="4"/>
      <c r="E38" s="4"/>
      <c r="F38" s="4"/>
      <c r="G38" s="4"/>
      <c r="H38" s="43"/>
      <c r="I38" s="4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4"/>
      <c r="C39" s="4"/>
      <c r="D39" s="4"/>
      <c r="E39" s="4"/>
      <c r="F39" s="4"/>
      <c r="G39" s="4"/>
      <c r="H39" s="43"/>
      <c r="I39" s="4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5"/>
      <c r="B40" s="45" t="s">
        <v>159</v>
      </c>
      <c r="C40" s="46"/>
      <c r="D40" s="4"/>
      <c r="E40" s="4"/>
      <c r="F40" s="4"/>
      <c r="G40" s="173" t="s">
        <v>159</v>
      </c>
      <c r="H40" s="151"/>
      <c r="I40" s="4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>
      <c r="A42" s="4"/>
      <c r="B42" s="4"/>
      <c r="C42" s="4"/>
      <c r="D42" s="4"/>
      <c r="E42" s="4"/>
      <c r="F42" s="4"/>
      <c r="G42" s="4"/>
      <c r="H42" s="4"/>
      <c r="I42" s="4"/>
      <c r="J42" s="104" t="s">
        <v>49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6">
    <mergeCell ref="B19:C19"/>
    <mergeCell ref="B20:C20"/>
    <mergeCell ref="C30:D30"/>
    <mergeCell ref="A32:I32"/>
    <mergeCell ref="G34:H34"/>
    <mergeCell ref="B21:C21"/>
    <mergeCell ref="B22:C22"/>
    <mergeCell ref="B23:C23"/>
    <mergeCell ref="C26:D26"/>
    <mergeCell ref="C27:D27"/>
    <mergeCell ref="C28:D28"/>
    <mergeCell ref="C29:D29"/>
    <mergeCell ref="B14:C14"/>
    <mergeCell ref="B15:C15"/>
    <mergeCell ref="B16:C16"/>
    <mergeCell ref="B17:C17"/>
    <mergeCell ref="B18:C18"/>
    <mergeCell ref="G40:H40"/>
    <mergeCell ref="E13:F13"/>
    <mergeCell ref="E14:F14"/>
    <mergeCell ref="E15:F15"/>
    <mergeCell ref="G15:H15"/>
    <mergeCell ref="E16:F16"/>
    <mergeCell ref="G16:H16"/>
    <mergeCell ref="G17:H17"/>
    <mergeCell ref="G35:H35"/>
    <mergeCell ref="E21:F21"/>
    <mergeCell ref="E22:F22"/>
    <mergeCell ref="E23:F23"/>
    <mergeCell ref="G18:H18"/>
    <mergeCell ref="G19:H19"/>
    <mergeCell ref="G20:H20"/>
    <mergeCell ref="G21:H21"/>
    <mergeCell ref="G22:H22"/>
    <mergeCell ref="G23:H23"/>
    <mergeCell ref="G14:H14"/>
    <mergeCell ref="E17:F17"/>
    <mergeCell ref="E18:F18"/>
    <mergeCell ref="E19:F19"/>
    <mergeCell ref="E20:F20"/>
    <mergeCell ref="A5:H5"/>
    <mergeCell ref="A12:A13"/>
    <mergeCell ref="B12:C13"/>
    <mergeCell ref="D12:H12"/>
    <mergeCell ref="I12:I13"/>
    <mergeCell ref="G13:H13"/>
  </mergeCells>
  <pageMargins left="0.19685039370078738" right="0.19685039370078738" top="0.59055118110236215" bottom="0.5905511811023621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4" max="4" width="17.85546875" customWidth="1"/>
    <col min="12" max="12" width="23.140625" customWidth="1"/>
  </cols>
  <sheetData>
    <row r="1" spans="1:12" ht="15.75" customHeight="1">
      <c r="A1" s="105" t="s">
        <v>121</v>
      </c>
      <c r="B1" s="175" t="s">
        <v>122</v>
      </c>
      <c r="C1" s="151"/>
      <c r="D1" s="151"/>
      <c r="E1" s="105"/>
      <c r="F1" s="106"/>
      <c r="G1" s="105" t="s">
        <v>5</v>
      </c>
      <c r="H1" s="106"/>
      <c r="I1" s="175" t="s">
        <v>119</v>
      </c>
      <c r="J1" s="151"/>
      <c r="K1" s="107"/>
      <c r="L1" s="107"/>
    </row>
    <row r="2" spans="1:12" ht="15.75" customHeight="1">
      <c r="A2" s="105" t="s">
        <v>6</v>
      </c>
      <c r="B2" s="175" t="s">
        <v>123</v>
      </c>
      <c r="C2" s="151"/>
      <c r="D2" s="151"/>
      <c r="E2" s="151"/>
      <c r="F2" s="106"/>
      <c r="G2" s="105" t="s">
        <v>7</v>
      </c>
      <c r="H2" s="106"/>
      <c r="I2" s="175" t="s">
        <v>8</v>
      </c>
      <c r="J2" s="151"/>
      <c r="K2" s="107"/>
      <c r="L2" s="107"/>
    </row>
    <row r="3" spans="1:12" ht="15.75" customHeight="1">
      <c r="A3" s="105" t="s">
        <v>9</v>
      </c>
      <c r="B3" s="175" t="s">
        <v>124</v>
      </c>
      <c r="C3" s="151"/>
      <c r="D3" s="106"/>
      <c r="E3" s="105"/>
      <c r="F3" s="106"/>
      <c r="G3" s="175" t="s">
        <v>125</v>
      </c>
      <c r="H3" s="151"/>
      <c r="I3" s="175" t="s">
        <v>126</v>
      </c>
      <c r="J3" s="151"/>
      <c r="K3" s="107"/>
      <c r="L3" s="107"/>
    </row>
    <row r="4" spans="1:12" ht="15.75" customHeight="1">
      <c r="A4" s="108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1:12" ht="15.75" customHeight="1">
      <c r="A5" s="108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5.75" customHeight="1">
      <c r="A6" s="109" t="s">
        <v>127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customHeight="1">
      <c r="A7" s="109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</row>
    <row r="8" spans="1:12" ht="15.75" customHeight="1">
      <c r="A8" s="180" t="s">
        <v>12</v>
      </c>
      <c r="B8" s="181" t="s">
        <v>13</v>
      </c>
      <c r="C8" s="138"/>
      <c r="D8" s="138"/>
      <c r="E8" s="138"/>
      <c r="F8" s="138"/>
      <c r="G8" s="136"/>
      <c r="H8" s="182" t="s">
        <v>128</v>
      </c>
      <c r="I8" s="107"/>
      <c r="J8" s="107"/>
      <c r="K8" s="107"/>
      <c r="L8" s="107"/>
    </row>
    <row r="9" spans="1:12" ht="15.75" customHeight="1">
      <c r="A9" s="141"/>
      <c r="B9" s="110" t="s">
        <v>15</v>
      </c>
      <c r="C9" s="110" t="s">
        <v>16</v>
      </c>
      <c r="D9" s="110" t="s">
        <v>17</v>
      </c>
      <c r="E9" s="110" t="s">
        <v>18</v>
      </c>
      <c r="F9" s="110" t="s">
        <v>19</v>
      </c>
      <c r="G9" s="110" t="s">
        <v>20</v>
      </c>
      <c r="H9" s="148"/>
      <c r="I9" s="107"/>
      <c r="J9" s="107"/>
      <c r="K9" s="107"/>
      <c r="L9" s="107"/>
    </row>
    <row r="10" spans="1:12" ht="15.75" customHeight="1">
      <c r="A10" s="111" t="s">
        <v>129</v>
      </c>
      <c r="B10" s="110"/>
      <c r="C10" s="110"/>
      <c r="D10" s="110"/>
      <c r="E10" s="112"/>
      <c r="F10" s="112"/>
      <c r="G10" s="112"/>
      <c r="H10" s="110">
        <f t="shared" ref="H10:H20" si="0">SUM(B10:G10)</f>
        <v>0</v>
      </c>
      <c r="I10" s="107"/>
      <c r="J10" s="107"/>
      <c r="K10" s="107"/>
      <c r="L10" s="107"/>
    </row>
    <row r="11" spans="1:12" ht="15.75" customHeight="1">
      <c r="A11" s="111" t="s">
        <v>22</v>
      </c>
      <c r="B11" s="110"/>
      <c r="C11" s="112"/>
      <c r="D11" s="113"/>
      <c r="E11" s="113"/>
      <c r="F11" s="113"/>
      <c r="G11" s="113"/>
      <c r="H11" s="110">
        <f t="shared" si="0"/>
        <v>0</v>
      </c>
      <c r="I11" s="107"/>
      <c r="J11" s="107"/>
      <c r="K11" s="107"/>
      <c r="L11" s="107"/>
    </row>
    <row r="12" spans="1:12" ht="15.75" customHeight="1">
      <c r="A12" s="111" t="s">
        <v>130</v>
      </c>
      <c r="B12" s="110"/>
      <c r="C12" s="112"/>
      <c r="D12" s="113"/>
      <c r="E12" s="113"/>
      <c r="F12" s="113"/>
      <c r="G12" s="113"/>
      <c r="H12" s="110">
        <f t="shared" si="0"/>
        <v>0</v>
      </c>
      <c r="I12" s="107"/>
      <c r="J12" s="107"/>
      <c r="K12" s="107"/>
      <c r="L12" s="107"/>
    </row>
    <row r="13" spans="1:12" ht="15.75" customHeight="1">
      <c r="A13" s="111" t="s">
        <v>131</v>
      </c>
      <c r="B13" s="110"/>
      <c r="C13" s="112"/>
      <c r="D13" s="110"/>
      <c r="E13" s="113"/>
      <c r="F13" s="113"/>
      <c r="G13" s="113"/>
      <c r="H13" s="110">
        <f t="shared" si="0"/>
        <v>0</v>
      </c>
      <c r="I13" s="107"/>
      <c r="J13" s="107"/>
      <c r="K13" s="107"/>
      <c r="L13" s="107"/>
    </row>
    <row r="14" spans="1:12" ht="15.75" customHeight="1">
      <c r="A14" s="111" t="s">
        <v>132</v>
      </c>
      <c r="B14" s="110"/>
      <c r="C14" s="110"/>
      <c r="D14" s="113"/>
      <c r="E14" s="113"/>
      <c r="F14" s="113"/>
      <c r="G14" s="113"/>
      <c r="H14" s="110">
        <f t="shared" si="0"/>
        <v>0</v>
      </c>
      <c r="I14" s="107"/>
      <c r="J14" s="107"/>
      <c r="K14" s="107"/>
      <c r="L14" s="107"/>
    </row>
    <row r="15" spans="1:12" ht="15.75" customHeight="1">
      <c r="A15" s="111" t="s">
        <v>26</v>
      </c>
      <c r="B15" s="110"/>
      <c r="C15" s="110"/>
      <c r="D15" s="113"/>
      <c r="E15" s="113"/>
      <c r="F15" s="113"/>
      <c r="G15" s="113"/>
      <c r="H15" s="110">
        <f t="shared" si="0"/>
        <v>0</v>
      </c>
      <c r="I15" s="107"/>
      <c r="J15" s="107"/>
      <c r="K15" s="107"/>
      <c r="L15" s="107"/>
    </row>
    <row r="16" spans="1:12" ht="15.75" customHeight="1">
      <c r="A16" s="111" t="s">
        <v>27</v>
      </c>
      <c r="B16" s="110"/>
      <c r="C16" s="110"/>
      <c r="D16" s="113"/>
      <c r="E16" s="113"/>
      <c r="F16" s="113"/>
      <c r="G16" s="113"/>
      <c r="H16" s="110">
        <f t="shared" si="0"/>
        <v>0</v>
      </c>
      <c r="I16" s="107"/>
      <c r="J16" s="107"/>
      <c r="K16" s="107"/>
      <c r="L16" s="107"/>
    </row>
    <row r="17" spans="1:12" ht="15.75" customHeight="1">
      <c r="A17" s="111" t="s">
        <v>28</v>
      </c>
      <c r="B17" s="112"/>
      <c r="C17" s="112"/>
      <c r="D17" s="112"/>
      <c r="E17" s="112"/>
      <c r="F17" s="112"/>
      <c r="G17" s="112"/>
      <c r="H17" s="110">
        <f t="shared" si="0"/>
        <v>0</v>
      </c>
      <c r="I17" s="107"/>
      <c r="J17" s="107"/>
      <c r="K17" s="107"/>
      <c r="L17" s="107"/>
    </row>
    <row r="18" spans="1:12" ht="15.75" customHeight="1">
      <c r="A18" s="111" t="s">
        <v>29</v>
      </c>
      <c r="B18" s="112"/>
      <c r="C18" s="112"/>
      <c r="D18" s="112"/>
      <c r="E18" s="112"/>
      <c r="F18" s="112"/>
      <c r="G18" s="112"/>
      <c r="H18" s="110">
        <f t="shared" si="0"/>
        <v>0</v>
      </c>
      <c r="I18" s="107"/>
      <c r="J18" s="107"/>
      <c r="K18" s="107"/>
      <c r="L18" s="107"/>
    </row>
    <row r="19" spans="1:12" ht="15.75" customHeight="1">
      <c r="A19" s="111" t="s">
        <v>30</v>
      </c>
      <c r="B19" s="112"/>
      <c r="C19" s="112"/>
      <c r="D19" s="112"/>
      <c r="E19" s="112"/>
      <c r="F19" s="112"/>
      <c r="G19" s="112"/>
      <c r="H19" s="110">
        <f t="shared" si="0"/>
        <v>0</v>
      </c>
      <c r="I19" s="107"/>
      <c r="J19" s="107"/>
      <c r="K19" s="107"/>
      <c r="L19" s="107"/>
    </row>
    <row r="20" spans="1:12" ht="15.75" customHeight="1">
      <c r="A20" s="111" t="s">
        <v>31</v>
      </c>
      <c r="B20" s="112">
        <f t="shared" ref="B20:G20" si="1">SUM(B10:B16)</f>
        <v>0</v>
      </c>
      <c r="C20" s="112">
        <f t="shared" si="1"/>
        <v>0</v>
      </c>
      <c r="D20" s="112">
        <f t="shared" si="1"/>
        <v>0</v>
      </c>
      <c r="E20" s="112">
        <f t="shared" si="1"/>
        <v>0</v>
      </c>
      <c r="F20" s="112">
        <f t="shared" si="1"/>
        <v>0</v>
      </c>
      <c r="G20" s="112">
        <f t="shared" si="1"/>
        <v>0</v>
      </c>
      <c r="H20" s="110">
        <f t="shared" si="0"/>
        <v>0</v>
      </c>
      <c r="I20" s="107"/>
      <c r="J20" s="107"/>
      <c r="K20" s="107"/>
      <c r="L20" s="107"/>
    </row>
    <row r="21" spans="1:12" ht="15.75" customHeight="1">
      <c r="A21" s="114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</row>
    <row r="22" spans="1:12" ht="15.75" customHeight="1">
      <c r="A22" s="109" t="s">
        <v>133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</row>
    <row r="23" spans="1:12" ht="15.75" customHeight="1">
      <c r="A23" s="109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</row>
    <row r="24" spans="1:12" ht="15.75" customHeight="1">
      <c r="A24" s="180" t="s">
        <v>12</v>
      </c>
      <c r="B24" s="181" t="s">
        <v>33</v>
      </c>
      <c r="C24" s="138"/>
      <c r="D24" s="138"/>
      <c r="E24" s="136"/>
      <c r="F24" s="181" t="s">
        <v>34</v>
      </c>
      <c r="G24" s="138"/>
      <c r="H24" s="136"/>
      <c r="I24" s="176" t="s">
        <v>35</v>
      </c>
      <c r="J24" s="176" t="s">
        <v>36</v>
      </c>
      <c r="K24" s="176" t="s">
        <v>37</v>
      </c>
      <c r="L24" s="176" t="s">
        <v>38</v>
      </c>
    </row>
    <row r="25" spans="1:12" ht="15.75" customHeight="1">
      <c r="A25" s="141"/>
      <c r="B25" s="110">
        <v>1</v>
      </c>
      <c r="C25" s="110">
        <v>2</v>
      </c>
      <c r="D25" s="110">
        <v>3</v>
      </c>
      <c r="E25" s="110">
        <v>4</v>
      </c>
      <c r="F25" s="110">
        <v>1</v>
      </c>
      <c r="G25" s="110">
        <v>2</v>
      </c>
      <c r="H25" s="110">
        <v>3</v>
      </c>
      <c r="I25" s="148"/>
      <c r="J25" s="148"/>
      <c r="K25" s="148"/>
      <c r="L25" s="148"/>
    </row>
    <row r="26" spans="1:12" ht="15.75" customHeight="1">
      <c r="A26" s="111" t="s">
        <v>129</v>
      </c>
      <c r="B26" s="115"/>
      <c r="C26" s="115"/>
      <c r="D26" s="115"/>
      <c r="E26" s="115"/>
      <c r="F26" s="115"/>
      <c r="G26" s="115"/>
      <c r="H26" s="116"/>
      <c r="I26" s="115"/>
      <c r="J26" s="110"/>
      <c r="K26" s="110"/>
      <c r="L26" s="117" t="s">
        <v>134</v>
      </c>
    </row>
    <row r="27" spans="1:12" ht="15.75" customHeight="1">
      <c r="A27" s="111" t="s">
        <v>22</v>
      </c>
      <c r="B27" s="110"/>
      <c r="C27" s="110"/>
      <c r="D27" s="115"/>
      <c r="E27" s="115"/>
      <c r="F27" s="110"/>
      <c r="G27" s="115"/>
      <c r="H27" s="115"/>
      <c r="I27" s="110"/>
      <c r="J27" s="110"/>
      <c r="K27" s="110"/>
      <c r="L27" s="118" t="s">
        <v>135</v>
      </c>
    </row>
    <row r="28" spans="1:12" ht="15.75" customHeight="1">
      <c r="A28" s="111" t="s">
        <v>136</v>
      </c>
      <c r="B28" s="110"/>
      <c r="C28" s="110"/>
      <c r="D28" s="110"/>
      <c r="E28" s="115"/>
      <c r="F28" s="110"/>
      <c r="G28" s="110"/>
      <c r="H28" s="115"/>
      <c r="I28" s="110"/>
      <c r="J28" s="110"/>
      <c r="K28" s="110"/>
      <c r="L28" s="119" t="s">
        <v>137</v>
      </c>
    </row>
    <row r="29" spans="1:12" ht="15.75" customHeight="1">
      <c r="A29" s="111" t="s">
        <v>131</v>
      </c>
      <c r="B29" s="110"/>
      <c r="C29" s="110"/>
      <c r="D29" s="115"/>
      <c r="E29" s="115"/>
      <c r="F29" s="110"/>
      <c r="G29" s="115"/>
      <c r="H29" s="115"/>
      <c r="I29" s="110"/>
      <c r="J29" s="110"/>
      <c r="K29" s="110"/>
      <c r="L29" s="119" t="s">
        <v>138</v>
      </c>
    </row>
    <row r="30" spans="1:12" ht="15.75" customHeight="1">
      <c r="A30" s="111" t="s">
        <v>132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9" t="s">
        <v>117</v>
      </c>
    </row>
    <row r="31" spans="1:12" ht="15.75" customHeight="1">
      <c r="A31" s="111" t="s">
        <v>26</v>
      </c>
      <c r="B31" s="110">
        <v>85</v>
      </c>
      <c r="C31" s="115">
        <v>80</v>
      </c>
      <c r="D31" s="110">
        <v>80</v>
      </c>
      <c r="E31" s="115"/>
      <c r="F31" s="110">
        <v>90</v>
      </c>
      <c r="G31" s="110">
        <v>86</v>
      </c>
      <c r="H31" s="110">
        <v>85</v>
      </c>
      <c r="I31" s="110">
        <v>76</v>
      </c>
      <c r="J31" s="110"/>
      <c r="K31" s="110"/>
      <c r="L31" s="119" t="s">
        <v>139</v>
      </c>
    </row>
    <row r="32" spans="1:12" ht="15.75" customHeight="1">
      <c r="A32" s="111" t="s">
        <v>27</v>
      </c>
      <c r="B32" s="110"/>
      <c r="C32" s="110"/>
      <c r="D32" s="115"/>
      <c r="E32" s="115"/>
      <c r="F32" s="110"/>
      <c r="G32" s="115"/>
      <c r="H32" s="115"/>
      <c r="I32" s="110"/>
      <c r="J32" s="110"/>
      <c r="K32" s="120"/>
      <c r="L32" s="119" t="s">
        <v>140</v>
      </c>
    </row>
    <row r="33" spans="1:12" ht="15.75" customHeight="1">
      <c r="A33" s="111" t="s">
        <v>28</v>
      </c>
      <c r="B33" s="110"/>
      <c r="C33" s="110"/>
      <c r="D33" s="115"/>
      <c r="E33" s="115"/>
      <c r="F33" s="110"/>
      <c r="G33" s="115"/>
      <c r="H33" s="115"/>
      <c r="I33" s="110"/>
      <c r="J33" s="110"/>
      <c r="K33" s="120"/>
      <c r="L33" s="121" t="s">
        <v>135</v>
      </c>
    </row>
    <row r="34" spans="1:12" ht="15.75" customHeight="1">
      <c r="A34" s="111" t="s">
        <v>29</v>
      </c>
      <c r="B34" s="110"/>
      <c r="C34" s="110"/>
      <c r="D34" s="115"/>
      <c r="E34" s="115"/>
      <c r="F34" s="110"/>
      <c r="G34" s="115"/>
      <c r="H34" s="115"/>
      <c r="I34" s="110"/>
      <c r="J34" s="110"/>
      <c r="K34" s="120"/>
      <c r="L34" s="121" t="s">
        <v>135</v>
      </c>
    </row>
    <row r="35" spans="1:12" ht="15.75" customHeight="1">
      <c r="A35" s="111" t="s">
        <v>30</v>
      </c>
      <c r="B35" s="110"/>
      <c r="C35" s="110"/>
      <c r="D35" s="115"/>
      <c r="E35" s="115"/>
      <c r="F35" s="110"/>
      <c r="G35" s="115"/>
      <c r="H35" s="115"/>
      <c r="I35" s="110"/>
      <c r="J35" s="110"/>
      <c r="K35" s="120"/>
      <c r="L35" s="121" t="s">
        <v>135</v>
      </c>
    </row>
    <row r="36" spans="1:12" ht="15.75" customHeight="1"/>
    <row r="37" spans="1:12" ht="15.75" customHeight="1">
      <c r="A37" s="109" t="s">
        <v>141</v>
      </c>
    </row>
    <row r="38" spans="1:12" ht="15.75" customHeight="1"/>
    <row r="39" spans="1:12" ht="15.75" customHeight="1">
      <c r="A39" s="177" t="s">
        <v>142</v>
      </c>
      <c r="B39" s="178" t="s">
        <v>12</v>
      </c>
      <c r="C39" s="178" t="s">
        <v>143</v>
      </c>
      <c r="D39" s="179" t="s">
        <v>98</v>
      </c>
      <c r="E39" s="138"/>
      <c r="F39" s="136"/>
      <c r="G39" s="178" t="s">
        <v>99</v>
      </c>
    </row>
    <row r="40" spans="1:12" ht="15.75" customHeight="1">
      <c r="A40" s="141"/>
      <c r="B40" s="148"/>
      <c r="C40" s="148"/>
      <c r="D40" s="122" t="s">
        <v>33</v>
      </c>
      <c r="E40" s="122" t="s">
        <v>100</v>
      </c>
      <c r="F40" s="122" t="s">
        <v>101</v>
      </c>
      <c r="G40" s="148"/>
    </row>
    <row r="41" spans="1:12" ht="15.75" customHeight="1">
      <c r="A41" s="123" t="s">
        <v>144</v>
      </c>
      <c r="B41" s="124" t="s">
        <v>129</v>
      </c>
      <c r="C41" s="125" t="s">
        <v>102</v>
      </c>
      <c r="D41" s="126"/>
      <c r="E41" s="126"/>
      <c r="F41" s="127"/>
      <c r="G41" s="125" t="s">
        <v>103</v>
      </c>
    </row>
    <row r="42" spans="1:12" ht="15.75" customHeight="1">
      <c r="A42" s="123" t="s">
        <v>145</v>
      </c>
      <c r="B42" s="124" t="s">
        <v>22</v>
      </c>
      <c r="C42" s="125" t="s">
        <v>102</v>
      </c>
      <c r="D42" s="127"/>
      <c r="E42" s="127"/>
      <c r="F42" s="127"/>
      <c r="G42" s="128" t="s">
        <v>103</v>
      </c>
    </row>
    <row r="43" spans="1:12" ht="15.75" customHeight="1">
      <c r="A43" s="123" t="s">
        <v>146</v>
      </c>
      <c r="B43" s="124" t="s">
        <v>130</v>
      </c>
      <c r="C43" s="125" t="s">
        <v>102</v>
      </c>
      <c r="D43" s="127"/>
      <c r="E43" s="127"/>
      <c r="F43" s="127"/>
      <c r="G43" s="128" t="s">
        <v>103</v>
      </c>
    </row>
    <row r="44" spans="1:12" ht="15.75" customHeight="1">
      <c r="A44" s="123" t="s">
        <v>147</v>
      </c>
      <c r="B44" s="124" t="s">
        <v>131</v>
      </c>
      <c r="C44" s="125" t="s">
        <v>102</v>
      </c>
      <c r="D44" s="127"/>
      <c r="E44" s="127"/>
      <c r="F44" s="127"/>
      <c r="G44" s="128" t="s">
        <v>103</v>
      </c>
    </row>
    <row r="45" spans="1:12" ht="15.75" customHeight="1">
      <c r="A45" s="123" t="s">
        <v>148</v>
      </c>
      <c r="B45" s="124" t="s">
        <v>132</v>
      </c>
      <c r="C45" s="125" t="s">
        <v>102</v>
      </c>
      <c r="D45" s="127"/>
      <c r="E45" s="127"/>
      <c r="F45" s="127"/>
      <c r="G45" s="128" t="s">
        <v>103</v>
      </c>
    </row>
    <row r="46" spans="1:12" ht="15.75" customHeight="1">
      <c r="A46" s="123" t="s">
        <v>149</v>
      </c>
      <c r="B46" s="124" t="s">
        <v>26</v>
      </c>
      <c r="C46" s="125" t="s">
        <v>102</v>
      </c>
      <c r="D46" s="127"/>
      <c r="E46" s="127"/>
      <c r="F46" s="127"/>
      <c r="G46" s="128" t="s">
        <v>103</v>
      </c>
    </row>
    <row r="47" spans="1:12" ht="15.75" customHeight="1">
      <c r="A47" s="123" t="s">
        <v>150</v>
      </c>
      <c r="B47" s="124" t="s">
        <v>27</v>
      </c>
      <c r="C47" s="125" t="s">
        <v>102</v>
      </c>
      <c r="D47" s="127"/>
      <c r="E47" s="127"/>
      <c r="F47" s="127"/>
      <c r="G47" s="128" t="s">
        <v>103</v>
      </c>
    </row>
    <row r="48" spans="1:12" ht="15.75" customHeight="1">
      <c r="A48" s="123" t="s">
        <v>151</v>
      </c>
      <c r="B48" s="124" t="s">
        <v>28</v>
      </c>
      <c r="C48" s="125" t="s">
        <v>102</v>
      </c>
      <c r="D48" s="127"/>
      <c r="E48" s="127"/>
      <c r="F48" s="127"/>
      <c r="G48" s="128" t="s">
        <v>103</v>
      </c>
    </row>
    <row r="49" spans="1:7" ht="15.75" customHeight="1">
      <c r="A49" s="123" t="s">
        <v>152</v>
      </c>
      <c r="B49" s="124" t="s">
        <v>29</v>
      </c>
      <c r="C49" s="125" t="s">
        <v>102</v>
      </c>
      <c r="D49" s="127"/>
      <c r="E49" s="127"/>
      <c r="F49" s="127"/>
      <c r="G49" s="128" t="s">
        <v>103</v>
      </c>
    </row>
    <row r="50" spans="1:7" ht="15.75" customHeight="1">
      <c r="A50" s="123" t="s">
        <v>153</v>
      </c>
      <c r="B50" s="124" t="s">
        <v>30</v>
      </c>
      <c r="C50" s="125" t="s">
        <v>102</v>
      </c>
      <c r="D50" s="127"/>
      <c r="E50" s="127"/>
      <c r="F50" s="127"/>
      <c r="G50" s="128" t="s">
        <v>103</v>
      </c>
    </row>
    <row r="51" spans="1:7" ht="15.75" customHeight="1">
      <c r="A51" s="129"/>
    </row>
    <row r="52" spans="1:7" ht="15.75" customHeight="1">
      <c r="A52" s="129" t="s">
        <v>99</v>
      </c>
    </row>
    <row r="53" spans="1:7" ht="15.75" customHeight="1">
      <c r="A53" s="130" t="s">
        <v>142</v>
      </c>
      <c r="B53" s="131" t="s">
        <v>104</v>
      </c>
      <c r="C53" s="131" t="s">
        <v>69</v>
      </c>
      <c r="D53" s="131" t="s">
        <v>99</v>
      </c>
    </row>
    <row r="54" spans="1:7" ht="15.75" customHeight="1">
      <c r="A54" s="132" t="s">
        <v>144</v>
      </c>
      <c r="B54" s="133" t="s">
        <v>154</v>
      </c>
      <c r="C54" s="134" t="s">
        <v>73</v>
      </c>
      <c r="D54" s="133" t="s">
        <v>107</v>
      </c>
    </row>
    <row r="55" spans="1:7" ht="15.75" customHeight="1">
      <c r="A55" s="132" t="s">
        <v>145</v>
      </c>
      <c r="B55" s="133" t="s">
        <v>155</v>
      </c>
      <c r="C55" s="134" t="s">
        <v>71</v>
      </c>
      <c r="D55" s="133" t="s">
        <v>109</v>
      </c>
    </row>
    <row r="56" spans="1:7" ht="15.75" customHeight="1">
      <c r="A56" s="132" t="s">
        <v>146</v>
      </c>
      <c r="B56" s="133" t="s">
        <v>156</v>
      </c>
      <c r="C56" s="134" t="s">
        <v>111</v>
      </c>
      <c r="D56" s="133" t="s">
        <v>112</v>
      </c>
    </row>
    <row r="57" spans="1:7" ht="15.75" customHeight="1">
      <c r="A57" s="132" t="s">
        <v>147</v>
      </c>
      <c r="B57" s="133" t="s">
        <v>157</v>
      </c>
      <c r="C57" s="134" t="s">
        <v>114</v>
      </c>
      <c r="D57" s="133" t="s">
        <v>115</v>
      </c>
    </row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8:A9"/>
    <mergeCell ref="B8:G8"/>
    <mergeCell ref="H8:H9"/>
    <mergeCell ref="A24:A25"/>
    <mergeCell ref="B24:E24"/>
    <mergeCell ref="F24:H24"/>
    <mergeCell ref="J24:J25"/>
    <mergeCell ref="K24:K25"/>
    <mergeCell ref="L24:L25"/>
    <mergeCell ref="A39:A40"/>
    <mergeCell ref="B39:B40"/>
    <mergeCell ref="C39:C40"/>
    <mergeCell ref="D39:F39"/>
    <mergeCell ref="G39:G40"/>
    <mergeCell ref="I24:I25"/>
    <mergeCell ref="B1:D1"/>
    <mergeCell ref="I1:J1"/>
    <mergeCell ref="B2:E2"/>
    <mergeCell ref="I2:J2"/>
    <mergeCell ref="B3:C3"/>
    <mergeCell ref="G3:H3"/>
    <mergeCell ref="I3:J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4" max="4" width="17.85546875" customWidth="1"/>
    <col min="12" max="12" width="23.140625" customWidth="1"/>
  </cols>
  <sheetData>
    <row r="1" spans="1:12" ht="15.75" customHeight="1">
      <c r="A1" s="105" t="s">
        <v>121</v>
      </c>
      <c r="B1" s="175" t="s">
        <v>158</v>
      </c>
      <c r="C1" s="151"/>
      <c r="D1" s="151"/>
      <c r="E1" s="105"/>
      <c r="F1" s="106"/>
      <c r="G1" s="105" t="s">
        <v>5</v>
      </c>
      <c r="H1" s="106"/>
      <c r="I1" s="175" t="s">
        <v>119</v>
      </c>
      <c r="J1" s="151"/>
      <c r="K1" s="107"/>
      <c r="L1" s="107"/>
    </row>
    <row r="2" spans="1:12" ht="15.75" customHeight="1">
      <c r="A2" s="105" t="s">
        <v>6</v>
      </c>
      <c r="B2" s="175" t="s">
        <v>123</v>
      </c>
      <c r="C2" s="151"/>
      <c r="D2" s="151"/>
      <c r="E2" s="151"/>
      <c r="F2" s="106"/>
      <c r="G2" s="105" t="s">
        <v>7</v>
      </c>
      <c r="H2" s="106"/>
      <c r="I2" s="175" t="s">
        <v>8</v>
      </c>
      <c r="J2" s="151"/>
      <c r="K2" s="107"/>
      <c r="L2" s="107"/>
    </row>
    <row r="3" spans="1:12" ht="15.75" customHeight="1">
      <c r="A3" s="105" t="s">
        <v>9</v>
      </c>
      <c r="B3" s="175" t="s">
        <v>124</v>
      </c>
      <c r="C3" s="151"/>
      <c r="D3" s="106"/>
      <c r="E3" s="105"/>
      <c r="F3" s="106"/>
      <c r="G3" s="175" t="s">
        <v>125</v>
      </c>
      <c r="H3" s="151"/>
      <c r="I3" s="175" t="s">
        <v>126</v>
      </c>
      <c r="J3" s="151"/>
      <c r="K3" s="107"/>
      <c r="L3" s="107"/>
    </row>
    <row r="4" spans="1:12" ht="15.75" customHeight="1">
      <c r="A4" s="108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1:12" ht="15.75" customHeight="1">
      <c r="A5" s="108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5.75" customHeight="1">
      <c r="A6" s="109" t="s">
        <v>127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15.75" customHeight="1">
      <c r="A7" s="109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</row>
    <row r="8" spans="1:12" ht="15.75" customHeight="1">
      <c r="A8" s="180" t="s">
        <v>12</v>
      </c>
      <c r="B8" s="181" t="s">
        <v>13</v>
      </c>
      <c r="C8" s="138"/>
      <c r="D8" s="138"/>
      <c r="E8" s="138"/>
      <c r="F8" s="138"/>
      <c r="G8" s="136"/>
      <c r="H8" s="182" t="s">
        <v>128</v>
      </c>
      <c r="I8" s="107"/>
      <c r="J8" s="107"/>
      <c r="K8" s="107"/>
      <c r="L8" s="107"/>
    </row>
    <row r="9" spans="1:12" ht="15.75" customHeight="1">
      <c r="A9" s="141"/>
      <c r="B9" s="110" t="s">
        <v>15</v>
      </c>
      <c r="C9" s="110" t="s">
        <v>16</v>
      </c>
      <c r="D9" s="110" t="s">
        <v>17</v>
      </c>
      <c r="E9" s="110" t="s">
        <v>18</v>
      </c>
      <c r="F9" s="110" t="s">
        <v>19</v>
      </c>
      <c r="G9" s="110" t="s">
        <v>20</v>
      </c>
      <c r="H9" s="148"/>
      <c r="I9" s="107"/>
      <c r="J9" s="107"/>
      <c r="K9" s="107"/>
      <c r="L9" s="107"/>
    </row>
    <row r="10" spans="1:12" ht="15.75" customHeight="1">
      <c r="A10" s="111" t="s">
        <v>129</v>
      </c>
      <c r="B10" s="110"/>
      <c r="C10" s="110"/>
      <c r="D10" s="110"/>
      <c r="E10" s="112"/>
      <c r="F10" s="112"/>
      <c r="G10" s="112"/>
      <c r="H10" s="110">
        <f t="shared" ref="H10:H20" si="0">SUM(B10:G10)</f>
        <v>0</v>
      </c>
      <c r="I10" s="107"/>
      <c r="J10" s="107"/>
      <c r="K10" s="107"/>
      <c r="L10" s="107"/>
    </row>
    <row r="11" spans="1:12" ht="15.75" customHeight="1">
      <c r="A11" s="111" t="s">
        <v>22</v>
      </c>
      <c r="B11" s="110"/>
      <c r="C11" s="112"/>
      <c r="D11" s="113"/>
      <c r="E11" s="113"/>
      <c r="F11" s="113"/>
      <c r="G11" s="113"/>
      <c r="H11" s="110">
        <f t="shared" si="0"/>
        <v>0</v>
      </c>
      <c r="I11" s="107"/>
      <c r="J11" s="107"/>
      <c r="K11" s="107"/>
      <c r="L11" s="107"/>
    </row>
    <row r="12" spans="1:12" ht="15.75" customHeight="1">
      <c r="A12" s="111" t="s">
        <v>130</v>
      </c>
      <c r="B12" s="110"/>
      <c r="C12" s="112"/>
      <c r="D12" s="113"/>
      <c r="E12" s="113"/>
      <c r="F12" s="113"/>
      <c r="G12" s="113"/>
      <c r="H12" s="110">
        <f t="shared" si="0"/>
        <v>0</v>
      </c>
      <c r="I12" s="107"/>
      <c r="J12" s="107"/>
      <c r="K12" s="107"/>
      <c r="L12" s="107"/>
    </row>
    <row r="13" spans="1:12" ht="15.75" customHeight="1">
      <c r="A13" s="111" t="s">
        <v>131</v>
      </c>
      <c r="B13" s="110"/>
      <c r="C13" s="112"/>
      <c r="D13" s="110"/>
      <c r="E13" s="113"/>
      <c r="F13" s="113"/>
      <c r="G13" s="113"/>
      <c r="H13" s="110">
        <f t="shared" si="0"/>
        <v>0</v>
      </c>
      <c r="I13" s="107"/>
      <c r="J13" s="107"/>
      <c r="K13" s="107"/>
      <c r="L13" s="107"/>
    </row>
    <row r="14" spans="1:12" ht="15.75" customHeight="1">
      <c r="A14" s="111" t="s">
        <v>132</v>
      </c>
      <c r="B14" s="110"/>
      <c r="C14" s="110"/>
      <c r="D14" s="113"/>
      <c r="E14" s="113"/>
      <c r="F14" s="113"/>
      <c r="G14" s="113"/>
      <c r="H14" s="110">
        <f t="shared" si="0"/>
        <v>0</v>
      </c>
      <c r="I14" s="107"/>
      <c r="J14" s="107"/>
      <c r="K14" s="107"/>
      <c r="L14" s="107"/>
    </row>
    <row r="15" spans="1:12" ht="15.75" customHeight="1">
      <c r="A15" s="111" t="s">
        <v>26</v>
      </c>
      <c r="B15" s="110"/>
      <c r="C15" s="110"/>
      <c r="D15" s="113"/>
      <c r="E15" s="113"/>
      <c r="F15" s="113"/>
      <c r="G15" s="113"/>
      <c r="H15" s="110">
        <f t="shared" si="0"/>
        <v>0</v>
      </c>
      <c r="I15" s="107"/>
      <c r="J15" s="107"/>
      <c r="K15" s="107"/>
      <c r="L15" s="107"/>
    </row>
    <row r="16" spans="1:12" ht="15.75" customHeight="1">
      <c r="A16" s="111" t="s">
        <v>27</v>
      </c>
      <c r="B16" s="110"/>
      <c r="C16" s="110"/>
      <c r="D16" s="113"/>
      <c r="E16" s="113"/>
      <c r="F16" s="113"/>
      <c r="G16" s="113"/>
      <c r="H16" s="110">
        <f t="shared" si="0"/>
        <v>0</v>
      </c>
      <c r="I16" s="107"/>
      <c r="J16" s="107"/>
      <c r="K16" s="107"/>
      <c r="L16" s="107"/>
    </row>
    <row r="17" spans="1:12" ht="15.75" customHeight="1">
      <c r="A17" s="111" t="s">
        <v>28</v>
      </c>
      <c r="B17" s="112"/>
      <c r="C17" s="112"/>
      <c r="D17" s="112"/>
      <c r="E17" s="112"/>
      <c r="F17" s="112"/>
      <c r="G17" s="112"/>
      <c r="H17" s="110">
        <f t="shared" si="0"/>
        <v>0</v>
      </c>
      <c r="I17" s="107"/>
      <c r="J17" s="107"/>
      <c r="K17" s="107"/>
      <c r="L17" s="107"/>
    </row>
    <row r="18" spans="1:12" ht="15.75" customHeight="1">
      <c r="A18" s="111" t="s">
        <v>29</v>
      </c>
      <c r="B18" s="112"/>
      <c r="C18" s="112"/>
      <c r="D18" s="112"/>
      <c r="E18" s="112"/>
      <c r="F18" s="112"/>
      <c r="G18" s="112"/>
      <c r="H18" s="110">
        <f t="shared" si="0"/>
        <v>0</v>
      </c>
      <c r="I18" s="107"/>
      <c r="J18" s="107"/>
      <c r="K18" s="107"/>
      <c r="L18" s="107"/>
    </row>
    <row r="19" spans="1:12" ht="15.75" customHeight="1">
      <c r="A19" s="111" t="s">
        <v>30</v>
      </c>
      <c r="B19" s="112"/>
      <c r="C19" s="112"/>
      <c r="D19" s="112"/>
      <c r="E19" s="112"/>
      <c r="F19" s="112"/>
      <c r="G19" s="112"/>
      <c r="H19" s="110">
        <f t="shared" si="0"/>
        <v>0</v>
      </c>
      <c r="I19" s="107"/>
      <c r="J19" s="107"/>
      <c r="K19" s="107"/>
      <c r="L19" s="107"/>
    </row>
    <row r="20" spans="1:12" ht="15.75" customHeight="1">
      <c r="A20" s="111" t="s">
        <v>31</v>
      </c>
      <c r="B20" s="112">
        <f t="shared" ref="B20:G20" si="1">SUM(B10:B16)</f>
        <v>0</v>
      </c>
      <c r="C20" s="112">
        <f t="shared" si="1"/>
        <v>0</v>
      </c>
      <c r="D20" s="112">
        <f t="shared" si="1"/>
        <v>0</v>
      </c>
      <c r="E20" s="112">
        <f t="shared" si="1"/>
        <v>0</v>
      </c>
      <c r="F20" s="112">
        <f t="shared" si="1"/>
        <v>0</v>
      </c>
      <c r="G20" s="112">
        <f t="shared" si="1"/>
        <v>0</v>
      </c>
      <c r="H20" s="110">
        <f t="shared" si="0"/>
        <v>0</v>
      </c>
      <c r="I20" s="107"/>
      <c r="J20" s="107"/>
      <c r="K20" s="107"/>
      <c r="L20" s="107"/>
    </row>
    <row r="21" spans="1:12" ht="15.75" customHeight="1">
      <c r="A21" s="114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</row>
    <row r="22" spans="1:12" ht="15.75" customHeight="1">
      <c r="A22" s="109" t="s">
        <v>133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</row>
    <row r="23" spans="1:12" ht="15.75" customHeight="1">
      <c r="A23" s="109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</row>
    <row r="24" spans="1:12" ht="15.75" customHeight="1">
      <c r="A24" s="180" t="s">
        <v>12</v>
      </c>
      <c r="B24" s="181" t="s">
        <v>33</v>
      </c>
      <c r="C24" s="138"/>
      <c r="D24" s="138"/>
      <c r="E24" s="136"/>
      <c r="F24" s="181" t="s">
        <v>34</v>
      </c>
      <c r="G24" s="138"/>
      <c r="H24" s="136"/>
      <c r="I24" s="176" t="s">
        <v>35</v>
      </c>
      <c r="J24" s="176" t="s">
        <v>36</v>
      </c>
      <c r="K24" s="176" t="s">
        <v>37</v>
      </c>
      <c r="L24" s="176" t="s">
        <v>38</v>
      </c>
    </row>
    <row r="25" spans="1:12" ht="15.75" customHeight="1">
      <c r="A25" s="141"/>
      <c r="B25" s="110">
        <v>1</v>
      </c>
      <c r="C25" s="110">
        <v>2</v>
      </c>
      <c r="D25" s="110">
        <v>3</v>
      </c>
      <c r="E25" s="110">
        <v>4</v>
      </c>
      <c r="F25" s="110">
        <v>1</v>
      </c>
      <c r="G25" s="110">
        <v>2</v>
      </c>
      <c r="H25" s="110">
        <v>3</v>
      </c>
      <c r="I25" s="148"/>
      <c r="J25" s="148"/>
      <c r="K25" s="148"/>
      <c r="L25" s="148"/>
    </row>
    <row r="26" spans="1:12" ht="15.75" customHeight="1">
      <c r="A26" s="111" t="s">
        <v>129</v>
      </c>
      <c r="B26" s="115"/>
      <c r="C26" s="115"/>
      <c r="D26" s="115"/>
      <c r="E26" s="115"/>
      <c r="F26" s="115"/>
      <c r="G26" s="115"/>
      <c r="H26" s="116"/>
      <c r="I26" s="115"/>
      <c r="J26" s="110"/>
      <c r="K26" s="110"/>
      <c r="L26" s="117"/>
    </row>
    <row r="27" spans="1:12" ht="15.75" customHeight="1">
      <c r="A27" s="111" t="s">
        <v>22</v>
      </c>
      <c r="B27" s="110"/>
      <c r="C27" s="110"/>
      <c r="D27" s="115"/>
      <c r="E27" s="115"/>
      <c r="F27" s="110"/>
      <c r="G27" s="115"/>
      <c r="H27" s="115"/>
      <c r="I27" s="110"/>
      <c r="J27" s="110"/>
      <c r="K27" s="110"/>
      <c r="L27" s="118" t="s">
        <v>135</v>
      </c>
    </row>
    <row r="28" spans="1:12" ht="15.75" customHeight="1">
      <c r="A28" s="111" t="s">
        <v>136</v>
      </c>
      <c r="B28" s="110"/>
      <c r="C28" s="110"/>
      <c r="D28" s="110"/>
      <c r="E28" s="115"/>
      <c r="F28" s="110"/>
      <c r="G28" s="110"/>
      <c r="H28" s="115"/>
      <c r="I28" s="110"/>
      <c r="J28" s="110"/>
      <c r="K28" s="110"/>
      <c r="L28" s="119" t="s">
        <v>137</v>
      </c>
    </row>
    <row r="29" spans="1:12" ht="15.75" customHeight="1">
      <c r="A29" s="111" t="s">
        <v>131</v>
      </c>
      <c r="B29" s="110"/>
      <c r="C29" s="110"/>
      <c r="D29" s="115"/>
      <c r="E29" s="115"/>
      <c r="F29" s="110"/>
      <c r="G29" s="115"/>
      <c r="H29" s="115"/>
      <c r="I29" s="110"/>
      <c r="J29" s="110"/>
      <c r="K29" s="110"/>
      <c r="L29" s="119" t="s">
        <v>138</v>
      </c>
    </row>
    <row r="30" spans="1:12" ht="15.75" customHeight="1">
      <c r="A30" s="111" t="s">
        <v>132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9" t="s">
        <v>117</v>
      </c>
    </row>
    <row r="31" spans="1:12" ht="15.75" customHeight="1">
      <c r="A31" s="111" t="s">
        <v>26</v>
      </c>
      <c r="B31" s="110">
        <v>78</v>
      </c>
      <c r="C31" s="115">
        <v>80</v>
      </c>
      <c r="D31" s="110">
        <v>85</v>
      </c>
      <c r="E31" s="115"/>
      <c r="F31" s="110">
        <v>85</v>
      </c>
      <c r="G31" s="110"/>
      <c r="H31" s="110">
        <v>88</v>
      </c>
      <c r="I31" s="110">
        <v>80</v>
      </c>
      <c r="J31" s="110"/>
      <c r="K31" s="110"/>
      <c r="L31" s="119" t="s">
        <v>139</v>
      </c>
    </row>
    <row r="32" spans="1:12" ht="15.75" customHeight="1">
      <c r="A32" s="111" t="s">
        <v>27</v>
      </c>
      <c r="B32" s="110"/>
      <c r="C32" s="110"/>
      <c r="D32" s="115"/>
      <c r="E32" s="115"/>
      <c r="F32" s="110"/>
      <c r="G32" s="115"/>
      <c r="H32" s="115"/>
      <c r="I32" s="110"/>
      <c r="J32" s="110"/>
      <c r="K32" s="120"/>
      <c r="L32" s="119" t="s">
        <v>140</v>
      </c>
    </row>
    <row r="33" spans="1:12" ht="15.75" customHeight="1">
      <c r="A33" s="111" t="s">
        <v>28</v>
      </c>
      <c r="B33" s="110"/>
      <c r="C33" s="110"/>
      <c r="D33" s="115"/>
      <c r="E33" s="115"/>
      <c r="F33" s="110"/>
      <c r="G33" s="115"/>
      <c r="H33" s="115"/>
      <c r="I33" s="110"/>
      <c r="J33" s="110"/>
      <c r="K33" s="120"/>
      <c r="L33" s="121" t="s">
        <v>135</v>
      </c>
    </row>
    <row r="34" spans="1:12" ht="15.75" customHeight="1">
      <c r="A34" s="111" t="s">
        <v>29</v>
      </c>
      <c r="B34" s="110"/>
      <c r="C34" s="110"/>
      <c r="D34" s="115"/>
      <c r="E34" s="115"/>
      <c r="F34" s="110"/>
      <c r="G34" s="115"/>
      <c r="H34" s="115"/>
      <c r="I34" s="110"/>
      <c r="J34" s="110"/>
      <c r="K34" s="120"/>
      <c r="L34" s="121" t="s">
        <v>135</v>
      </c>
    </row>
    <row r="35" spans="1:12" ht="15.75" customHeight="1">
      <c r="A35" s="111" t="s">
        <v>30</v>
      </c>
      <c r="B35" s="110"/>
      <c r="C35" s="110"/>
      <c r="D35" s="115"/>
      <c r="E35" s="115"/>
      <c r="F35" s="110"/>
      <c r="G35" s="115"/>
      <c r="H35" s="115"/>
      <c r="I35" s="110"/>
      <c r="J35" s="110"/>
      <c r="K35" s="120"/>
      <c r="L35" s="121" t="s">
        <v>135</v>
      </c>
    </row>
    <row r="36" spans="1:12" ht="15.75" customHeight="1"/>
    <row r="37" spans="1:12" ht="15.75" customHeight="1">
      <c r="A37" s="109" t="s">
        <v>141</v>
      </c>
    </row>
    <row r="38" spans="1:12" ht="15.75" customHeight="1"/>
    <row r="39" spans="1:12" ht="15.75" customHeight="1">
      <c r="A39" s="177" t="s">
        <v>142</v>
      </c>
      <c r="B39" s="178" t="s">
        <v>12</v>
      </c>
      <c r="C39" s="178" t="s">
        <v>143</v>
      </c>
      <c r="D39" s="179" t="s">
        <v>98</v>
      </c>
      <c r="E39" s="138"/>
      <c r="F39" s="136"/>
      <c r="G39" s="178" t="s">
        <v>99</v>
      </c>
    </row>
    <row r="40" spans="1:12" ht="15.75" customHeight="1">
      <c r="A40" s="141"/>
      <c r="B40" s="148"/>
      <c r="C40" s="148"/>
      <c r="D40" s="122" t="s">
        <v>33</v>
      </c>
      <c r="E40" s="122" t="s">
        <v>100</v>
      </c>
      <c r="F40" s="122" t="s">
        <v>101</v>
      </c>
      <c r="G40" s="148"/>
    </row>
    <row r="41" spans="1:12" ht="15.75" customHeight="1">
      <c r="A41" s="123" t="s">
        <v>144</v>
      </c>
      <c r="B41" s="124" t="s">
        <v>129</v>
      </c>
      <c r="C41" s="125" t="s">
        <v>102</v>
      </c>
      <c r="D41" s="126"/>
      <c r="E41" s="126"/>
      <c r="F41" s="127"/>
      <c r="G41" s="125" t="s">
        <v>103</v>
      </c>
    </row>
    <row r="42" spans="1:12" ht="15.75" customHeight="1">
      <c r="A42" s="123" t="s">
        <v>145</v>
      </c>
      <c r="B42" s="124" t="s">
        <v>22</v>
      </c>
      <c r="C42" s="125" t="s">
        <v>102</v>
      </c>
      <c r="D42" s="127"/>
      <c r="E42" s="127"/>
      <c r="F42" s="127"/>
      <c r="G42" s="128" t="s">
        <v>103</v>
      </c>
    </row>
    <row r="43" spans="1:12" ht="15.75" customHeight="1">
      <c r="A43" s="123" t="s">
        <v>146</v>
      </c>
      <c r="B43" s="124" t="s">
        <v>130</v>
      </c>
      <c r="C43" s="125" t="s">
        <v>102</v>
      </c>
      <c r="D43" s="127"/>
      <c r="E43" s="127"/>
      <c r="F43" s="127"/>
      <c r="G43" s="128" t="s">
        <v>103</v>
      </c>
    </row>
    <row r="44" spans="1:12" ht="15.75" customHeight="1">
      <c r="A44" s="123" t="s">
        <v>147</v>
      </c>
      <c r="B44" s="124" t="s">
        <v>131</v>
      </c>
      <c r="C44" s="125" t="s">
        <v>102</v>
      </c>
      <c r="D44" s="127"/>
      <c r="E44" s="127"/>
      <c r="F44" s="127"/>
      <c r="G44" s="128" t="s">
        <v>103</v>
      </c>
    </row>
    <row r="45" spans="1:12" ht="15.75" customHeight="1">
      <c r="A45" s="123" t="s">
        <v>148</v>
      </c>
      <c r="B45" s="124" t="s">
        <v>132</v>
      </c>
      <c r="C45" s="125" t="s">
        <v>102</v>
      </c>
      <c r="D45" s="127"/>
      <c r="E45" s="127"/>
      <c r="F45" s="127"/>
      <c r="G45" s="128" t="s">
        <v>103</v>
      </c>
    </row>
    <row r="46" spans="1:12" ht="15.75" customHeight="1">
      <c r="A46" s="123" t="s">
        <v>149</v>
      </c>
      <c r="B46" s="124" t="s">
        <v>26</v>
      </c>
      <c r="C46" s="125" t="s">
        <v>102</v>
      </c>
      <c r="D46" s="127"/>
      <c r="E46" s="127"/>
      <c r="F46" s="127"/>
      <c r="G46" s="128" t="s">
        <v>103</v>
      </c>
    </row>
    <row r="47" spans="1:12" ht="15.75" customHeight="1">
      <c r="A47" s="123" t="s">
        <v>150</v>
      </c>
      <c r="B47" s="124" t="s">
        <v>27</v>
      </c>
      <c r="C47" s="125" t="s">
        <v>102</v>
      </c>
      <c r="D47" s="127"/>
      <c r="E47" s="127"/>
      <c r="F47" s="127"/>
      <c r="G47" s="128" t="s">
        <v>103</v>
      </c>
    </row>
    <row r="48" spans="1:12" ht="15.75" customHeight="1">
      <c r="A48" s="123" t="s">
        <v>151</v>
      </c>
      <c r="B48" s="124" t="s">
        <v>28</v>
      </c>
      <c r="C48" s="125" t="s">
        <v>102</v>
      </c>
      <c r="D48" s="127"/>
      <c r="E48" s="127"/>
      <c r="F48" s="127"/>
      <c r="G48" s="128" t="s">
        <v>103</v>
      </c>
    </row>
    <row r="49" spans="1:7" ht="15.75" customHeight="1">
      <c r="A49" s="123" t="s">
        <v>152</v>
      </c>
      <c r="B49" s="124" t="s">
        <v>29</v>
      </c>
      <c r="C49" s="125" t="s">
        <v>102</v>
      </c>
      <c r="D49" s="127"/>
      <c r="E49" s="127"/>
      <c r="F49" s="127"/>
      <c r="G49" s="128" t="s">
        <v>103</v>
      </c>
    </row>
    <row r="50" spans="1:7" ht="15.75" customHeight="1">
      <c r="A50" s="123" t="s">
        <v>153</v>
      </c>
      <c r="B50" s="124" t="s">
        <v>30</v>
      </c>
      <c r="C50" s="125" t="s">
        <v>102</v>
      </c>
      <c r="D50" s="127"/>
      <c r="E50" s="127"/>
      <c r="F50" s="127"/>
      <c r="G50" s="128" t="s">
        <v>103</v>
      </c>
    </row>
    <row r="51" spans="1:7" ht="15.75" customHeight="1">
      <c r="A51" s="129"/>
    </row>
    <row r="52" spans="1:7" ht="15.75" customHeight="1">
      <c r="A52" s="129" t="s">
        <v>99</v>
      </c>
    </row>
    <row r="53" spans="1:7" ht="15.75" customHeight="1">
      <c r="A53" s="130" t="s">
        <v>142</v>
      </c>
      <c r="B53" s="131" t="s">
        <v>104</v>
      </c>
      <c r="C53" s="131" t="s">
        <v>69</v>
      </c>
      <c r="D53" s="131" t="s">
        <v>99</v>
      </c>
    </row>
    <row r="54" spans="1:7" ht="15.75" customHeight="1">
      <c r="A54" s="132" t="s">
        <v>144</v>
      </c>
      <c r="B54" s="133" t="s">
        <v>154</v>
      </c>
      <c r="C54" s="134" t="s">
        <v>73</v>
      </c>
      <c r="D54" s="133" t="s">
        <v>107</v>
      </c>
    </row>
    <row r="55" spans="1:7" ht="15.75" customHeight="1">
      <c r="A55" s="132" t="s">
        <v>145</v>
      </c>
      <c r="B55" s="133" t="s">
        <v>155</v>
      </c>
      <c r="C55" s="134" t="s">
        <v>71</v>
      </c>
      <c r="D55" s="133" t="s">
        <v>109</v>
      </c>
    </row>
    <row r="56" spans="1:7" ht="15.75" customHeight="1">
      <c r="A56" s="132" t="s">
        <v>146</v>
      </c>
      <c r="B56" s="133" t="s">
        <v>156</v>
      </c>
      <c r="C56" s="134" t="s">
        <v>111</v>
      </c>
      <c r="D56" s="133" t="s">
        <v>112</v>
      </c>
    </row>
    <row r="57" spans="1:7" ht="15.75" customHeight="1">
      <c r="A57" s="132" t="s">
        <v>147</v>
      </c>
      <c r="B57" s="133" t="s">
        <v>157</v>
      </c>
      <c r="C57" s="134" t="s">
        <v>114</v>
      </c>
      <c r="D57" s="133" t="s">
        <v>115</v>
      </c>
    </row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8:A9"/>
    <mergeCell ref="B8:G8"/>
    <mergeCell ref="H8:H9"/>
    <mergeCell ref="A24:A25"/>
    <mergeCell ref="B24:E24"/>
    <mergeCell ref="F24:H24"/>
    <mergeCell ref="J24:J25"/>
    <mergeCell ref="K24:K25"/>
    <mergeCell ref="L24:L25"/>
    <mergeCell ref="A39:A40"/>
    <mergeCell ref="B39:B40"/>
    <mergeCell ref="C39:C40"/>
    <mergeCell ref="D39:F39"/>
    <mergeCell ref="G39:G40"/>
    <mergeCell ref="I24:I25"/>
    <mergeCell ref="B1:D1"/>
    <mergeCell ref="I1:J1"/>
    <mergeCell ref="B2:E2"/>
    <mergeCell ref="I2:J2"/>
    <mergeCell ref="B3:C3"/>
    <mergeCell ref="G3:H3"/>
    <mergeCell ref="I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Rapot</vt:lpstr>
      <vt:lpstr>Deskripsi</vt:lpstr>
      <vt:lpstr>Keterangan Nilai</vt:lpstr>
      <vt:lpstr>Safira</vt:lpstr>
      <vt:lpstr>Amanda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SERVER02</cp:lastModifiedBy>
  <dcterms:created xsi:type="dcterms:W3CDTF">2025-06-19T00:39:25Z</dcterms:created>
  <dcterms:modified xsi:type="dcterms:W3CDTF">2026-04-15T06:44:53Z</dcterms:modified>
</cp:coreProperties>
</file>